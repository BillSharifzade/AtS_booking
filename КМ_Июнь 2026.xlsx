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ATSCoWorking 01\Desktop\отп.конце месяца\"/>
    </mc:Choice>
  </mc:AlternateContent>
  <xr:revisionPtr revIDLastSave="0" documentId="13_ncr:1_{BF4B9A0D-BC48-44A6-A045-6D9CE798677A}" xr6:coauthVersionLast="47" xr6:coauthVersionMax="47" xr10:uidLastSave="{00000000-0000-0000-0000-000000000000}"/>
  <bookViews>
    <workbookView xWindow="-108" yWindow="-108" windowWidth="23256" windowHeight="12456" xr2:uid="{34E9AE8D-76B8-4A7E-A7B4-D6F734DF1FCB}"/>
  </bookViews>
  <sheets>
    <sheet name="Июнь 2026" sheetId="6" r:id="rId1"/>
    <sheet name="Май 2026" sheetId="5" r:id="rId2"/>
    <sheet name="Апрель 2026" sheetId="4" r:id="rId3"/>
    <sheet name="Март 2026" sheetId="3" r:id="rId4"/>
    <sheet name="Февраль 2026" sheetId="2" r:id="rId5"/>
    <sheet name="Январь 2026" sheetId="1" r:id="rId6"/>
  </sheets>
  <definedNames>
    <definedName name="_xlnm._FilterDatabase" localSheetId="2" hidden="1">'Апрель 2026'!$A$2:$J$62</definedName>
    <definedName name="_xlnm._FilterDatabase" localSheetId="0" hidden="1">'Июнь 2026'!$B$2:$J$52</definedName>
    <definedName name="_xlnm._FilterDatabase" localSheetId="1" hidden="1">'Май 2026'!$B$2:$J$56</definedName>
    <definedName name="_xlnm._FilterDatabase" localSheetId="4" hidden="1">'Февраль 2026'!$C$1:$C$57</definedName>
  </definedName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6" l="1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4" i="6"/>
  <c r="P4" i="5"/>
  <c r="O25" i="6"/>
  <c r="N25" i="6"/>
  <c r="P25" i="6" l="1"/>
  <c r="P20" i="5"/>
  <c r="P5" i="5"/>
  <c r="N2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1" i="5"/>
  <c r="P22" i="5"/>
  <c r="P23" i="5"/>
  <c r="P24" i="5"/>
  <c r="O25" i="5"/>
  <c r="O38" i="4"/>
  <c r="N38" i="4"/>
  <c r="P37" i="4"/>
  <c r="P25" i="5" l="1"/>
  <c r="P29" i="4"/>
  <c r="P15" i="4"/>
  <c r="P22" i="4"/>
  <c r="P5" i="4"/>
  <c r="P6" i="4"/>
  <c r="P7" i="4"/>
  <c r="P8" i="4"/>
  <c r="P9" i="4"/>
  <c r="P10" i="4"/>
  <c r="P11" i="4"/>
  <c r="P12" i="4"/>
  <c r="P13" i="4"/>
  <c r="P14" i="4"/>
  <c r="P16" i="4"/>
  <c r="P17" i="4"/>
  <c r="P18" i="4"/>
  <c r="P19" i="4"/>
  <c r="P20" i="4"/>
  <c r="P21" i="4"/>
  <c r="P23" i="4"/>
  <c r="P24" i="4"/>
  <c r="P25" i="4"/>
  <c r="P26" i="4"/>
  <c r="P27" i="4"/>
  <c r="P28" i="4"/>
  <c r="P30" i="4"/>
  <c r="P31" i="4"/>
  <c r="P32" i="4"/>
  <c r="P33" i="4"/>
  <c r="P34" i="4"/>
  <c r="P35" i="4"/>
  <c r="P36" i="4"/>
  <c r="N22" i="3"/>
  <c r="O22" i="3"/>
  <c r="P4" i="4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4" i="3"/>
  <c r="P16" i="2"/>
  <c r="P5" i="2"/>
  <c r="P6" i="2"/>
  <c r="P7" i="2"/>
  <c r="P8" i="2"/>
  <c r="P9" i="2"/>
  <c r="P10" i="2"/>
  <c r="P11" i="2"/>
  <c r="P12" i="2"/>
  <c r="P13" i="2"/>
  <c r="P14" i="2"/>
  <c r="P15" i="2"/>
  <c r="P17" i="2"/>
  <c r="P18" i="2"/>
  <c r="P19" i="2"/>
  <c r="P4" i="2"/>
  <c r="P20" i="2" s="1"/>
  <c r="O20" i="2"/>
  <c r="N20" i="2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N20" i="1"/>
  <c r="O20" i="1"/>
  <c r="P38" i="4" l="1"/>
  <c r="P22" i="3"/>
  <c r="P20" i="1"/>
</calcChain>
</file>

<file path=xl/sharedStrings.xml><?xml version="1.0" encoding="utf-8"?>
<sst xmlns="http://schemas.openxmlformats.org/spreadsheetml/2006/main" count="1926" uniqueCount="353">
  <si>
    <t>Дата</t>
  </si>
  <si>
    <t>Зал</t>
  </si>
  <si>
    <t xml:space="preserve">Время </t>
  </si>
  <si>
    <t xml:space="preserve">Мероприятие </t>
  </si>
  <si>
    <t>Компании/Проект</t>
  </si>
  <si>
    <t>Тренер/Ведущий</t>
  </si>
  <si>
    <t>Аудитория</t>
  </si>
  <si>
    <t>Кофе Брейк</t>
  </si>
  <si>
    <t>Кол-во участников</t>
  </si>
  <si>
    <t>Дни недели</t>
  </si>
  <si>
    <t>№</t>
  </si>
  <si>
    <t>Основные мероприятия</t>
  </si>
  <si>
    <t>Кол-во План</t>
  </si>
  <si>
    <t>Факт</t>
  </si>
  <si>
    <t>Разница</t>
  </si>
  <si>
    <t>Brain Battle</t>
  </si>
  <si>
    <t>Коммуникация</t>
  </si>
  <si>
    <t>HR</t>
  </si>
  <si>
    <t>АКТ зал</t>
  </si>
  <si>
    <t>13:00–16:00</t>
  </si>
  <si>
    <t>Новогодний квест «AtS Gen vs GRINCH»</t>
  </si>
  <si>
    <t>Микс</t>
  </si>
  <si>
    <t>AtS Gen</t>
  </si>
  <si>
    <t>14:00-14:10</t>
  </si>
  <si>
    <t>Понедельник</t>
  </si>
  <si>
    <t>Вводное</t>
  </si>
  <si>
    <t>Кухня</t>
  </si>
  <si>
    <t>11:00-12:00</t>
  </si>
  <si>
    <t xml:space="preserve">МаК «Мыловарение» </t>
  </si>
  <si>
    <t>Вторник</t>
  </si>
  <si>
    <t xml:space="preserve">Будущее рядом: AI и Я </t>
  </si>
  <si>
    <t>Кузня</t>
  </si>
  <si>
    <t>12:00-13:00</t>
  </si>
  <si>
    <t>МаК «Сладкий завтрак»</t>
  </si>
  <si>
    <t>Пожарная часть</t>
  </si>
  <si>
    <t>10:30–12:30</t>
  </si>
  <si>
    <t>Экскурсия в пожарную часть</t>
  </si>
  <si>
    <t>12:20-12:30</t>
  </si>
  <si>
    <t>17</t>
  </si>
  <si>
    <t>Среда</t>
  </si>
  <si>
    <t>Экономика и производство</t>
  </si>
  <si>
    <t>Четверг</t>
  </si>
  <si>
    <t>Пятница</t>
  </si>
  <si>
    <t>14:00-16:00</t>
  </si>
  <si>
    <t>Brain Battle: Дети vs Родители</t>
  </si>
  <si>
    <t>15:00-15:10</t>
  </si>
  <si>
    <t>Суббота</t>
  </si>
  <si>
    <t xml:space="preserve"> Big малый</t>
  </si>
  <si>
    <t>14:00-16:30</t>
  </si>
  <si>
    <t>MDIS</t>
  </si>
  <si>
    <t>AtS</t>
  </si>
  <si>
    <t>Small</t>
  </si>
  <si>
    <t>Беседа</t>
  </si>
  <si>
    <t>09:00-11:30</t>
  </si>
  <si>
    <t>Тадж Моторс</t>
  </si>
  <si>
    <t>10:00-10:10</t>
  </si>
  <si>
    <t>9</t>
  </si>
  <si>
    <t>Хонаи Ман</t>
  </si>
  <si>
    <t>КОИНОТ АВТО</t>
  </si>
  <si>
    <t>17:30-18:30</t>
  </si>
  <si>
    <t>Вручение призов победителям розыгрыша "Мавсими бурд"</t>
  </si>
  <si>
    <t>Ёвар</t>
  </si>
  <si>
    <t>17:20-17:30</t>
  </si>
  <si>
    <t>Big-Малый</t>
  </si>
  <si>
    <t>09:00-10:00</t>
  </si>
  <si>
    <t>Презентация продукта</t>
  </si>
  <si>
    <t>Дусти Фарм</t>
  </si>
  <si>
    <t>Хакимов Низом</t>
  </si>
  <si>
    <t>27</t>
  </si>
  <si>
    <t>Big- Малый</t>
  </si>
  <si>
    <t>14:00-16:10</t>
  </si>
  <si>
    <t>14:00-17:00</t>
  </si>
  <si>
    <t>Ассесмент</t>
  </si>
  <si>
    <t>NEO</t>
  </si>
  <si>
    <t>Жанна Лингерт</t>
  </si>
  <si>
    <t>Адаптивность</t>
  </si>
  <si>
    <t>Salomat</t>
  </si>
  <si>
    <t>Хуршеда Шарипова</t>
  </si>
  <si>
    <t>Модуль "Вводное"</t>
  </si>
  <si>
    <t>Рахматов Искандар</t>
  </si>
  <si>
    <t>Ахророва Хилола</t>
  </si>
  <si>
    <t>Модуль "Коммуникация"</t>
  </si>
  <si>
    <t>Модуль "HR"</t>
  </si>
  <si>
    <t>Шарипова Хуршеда</t>
  </si>
  <si>
    <t>Vip-большой</t>
  </si>
  <si>
    <t>Воркшоп "Адаптивность"</t>
  </si>
  <si>
    <t>Модуль "Будущее рядом: AI и Я" 10-13 лет</t>
  </si>
  <si>
    <t>Шарипова Рано/Настрашоева Тимима</t>
  </si>
  <si>
    <t xml:space="preserve">Big-малый </t>
  </si>
  <si>
    <t>Модуль "Экономика и производство"</t>
  </si>
  <si>
    <t>Салимова Шукрона</t>
  </si>
  <si>
    <t>12:00-14:00</t>
  </si>
  <si>
    <t>День открытых дверей - Тестирова</t>
  </si>
  <si>
    <t>Воркшоп
"Лидерство"</t>
  </si>
  <si>
    <t xml:space="preserve">Модуль "Кто я?" </t>
  </si>
  <si>
    <t>Мастер-Класс "Безопасность" Альфа\Бетта -10-13лет</t>
  </si>
  <si>
    <t>Шарипова Рано/ Мансуров Шухрат</t>
  </si>
  <si>
    <t>Модуль "Личные Финансы" Альфа 14-16лет</t>
  </si>
  <si>
    <t>Кружок</t>
  </si>
  <si>
    <t xml:space="preserve"> Воркшоп "Ответственность"</t>
  </si>
  <si>
    <t>Календ6арь ежедневных мероприятий БТЦ "AtS" (Январь 2026)</t>
  </si>
  <si>
    <t>Воркшоп "Договор о сделке"</t>
  </si>
  <si>
    <t>Spey</t>
  </si>
  <si>
    <t>Модуль "Осознанное принятие решений"</t>
  </si>
  <si>
    <t>HR специалисты</t>
  </si>
  <si>
    <t>16</t>
  </si>
  <si>
    <t>Vegapharm</t>
  </si>
  <si>
    <t>15</t>
  </si>
  <si>
    <t>Belinda</t>
  </si>
  <si>
    <t>12</t>
  </si>
  <si>
    <t xml:space="preserve">Экономика и производство  ЯРМАРКА- Дельта/Бета </t>
  </si>
  <si>
    <t>23</t>
  </si>
  <si>
    <t>ШС/ГМ/СД</t>
  </si>
  <si>
    <t>13:00-13:10</t>
  </si>
  <si>
    <t>Курс УНФ "Менеджмент"</t>
  </si>
  <si>
    <t>Курс УНФ "Коммуникация"</t>
  </si>
  <si>
    <t>BrB</t>
  </si>
  <si>
    <t>12-15</t>
  </si>
  <si>
    <t>Lady</t>
  </si>
  <si>
    <t>ГО ФЭД- ДФП</t>
  </si>
  <si>
    <t>ГО ФЭД</t>
  </si>
  <si>
    <t>09:00-12:30</t>
  </si>
  <si>
    <t>ИР/ИА/ХА</t>
  </si>
  <si>
    <t>Воркшоп "КАМ/КК"</t>
  </si>
  <si>
    <t>Тайолдо</t>
  </si>
  <si>
    <t>13:00-16:00</t>
  </si>
  <si>
    <t>8</t>
  </si>
  <si>
    <t>Беседа MDIS</t>
  </si>
  <si>
    <t>Презентация продукта Дусти Фарм</t>
  </si>
  <si>
    <t>Brain Battle MDIS</t>
  </si>
  <si>
    <t>Модуль "Экономика и производство" 10-13 лет</t>
  </si>
  <si>
    <t>Модуль "Личные Финансы" Альфа 14-16 лет</t>
  </si>
  <si>
    <t xml:space="preserve">Модуль "Коммуникация" </t>
  </si>
  <si>
    <t>КрС HR</t>
  </si>
  <si>
    <t xml:space="preserve"> "Ассесмент"</t>
  </si>
  <si>
    <t>Мастер-Класс "МЫШЛЕНИЕ САМОСТОЯТЕЛЬНОГО ЧЕЛОВЕКА"</t>
  </si>
  <si>
    <t>Шукрона Салимова</t>
  </si>
  <si>
    <t xml:space="preserve"> 14:00-16:10</t>
  </si>
  <si>
    <t>Neo</t>
  </si>
  <si>
    <t>-</t>
  </si>
  <si>
    <t>Belinda Oph</t>
  </si>
  <si>
    <t>AtS/ ГО КН</t>
  </si>
  <si>
    <t>Big-малый</t>
  </si>
  <si>
    <t>ГО АХД</t>
  </si>
  <si>
    <t>Воркшоп "Интенсив-New"</t>
  </si>
  <si>
    <t>КрС</t>
  </si>
  <si>
    <t xml:space="preserve">HR специалисты </t>
  </si>
  <si>
    <t xml:space="preserve">Весенние каникулы Pizza Party в ботаническом саду </t>
  </si>
  <si>
    <t>12:30-13:00</t>
  </si>
  <si>
    <t>11:00-14:00</t>
  </si>
  <si>
    <t>Ботанический сад</t>
  </si>
  <si>
    <t>Юбилейная игра BrB к 5-летию AtS</t>
  </si>
  <si>
    <t>12:30-12:40</t>
  </si>
  <si>
    <t>Шахматный турнир</t>
  </si>
  <si>
    <t>Модуль "Личные Финансы" Альфа 14-17лет</t>
  </si>
  <si>
    <t>09:00-12:00</t>
  </si>
  <si>
    <t>Воркшоп "Критическое мышление"</t>
  </si>
  <si>
    <t>Воркшоп "УТП-Фарм"</t>
  </si>
  <si>
    <t>Юбилейная игра BrB к 5-летию AtS 10-13лет</t>
  </si>
  <si>
    <t>Юбилейная игра BrB к 5-летию AtS 14-17лет</t>
  </si>
  <si>
    <t xml:space="preserve">Презентация </t>
  </si>
  <si>
    <t>09:00-11:00</t>
  </si>
  <si>
    <t>Низом Хакимов</t>
  </si>
  <si>
    <t xml:space="preserve"> Big большой/Small</t>
  </si>
  <si>
    <t xml:space="preserve"> Big большой/Big-малый</t>
  </si>
  <si>
    <t>24</t>
  </si>
  <si>
    <t>Презентация</t>
  </si>
  <si>
    <t>Календ6арь ежедневных мероприятий БТЦ "AtS" Март 2026)</t>
  </si>
  <si>
    <t>Календ6арь ежедневных мероприятий БТЦ "AtS" (Февраль 2026)</t>
  </si>
  <si>
    <t>Календ6арь ежедневных мероприятий БТЦ "AtS" (Апрель 2026)</t>
  </si>
  <si>
    <t>ГО ДЗЛ</t>
  </si>
  <si>
    <t>ИР</t>
  </si>
  <si>
    <t>Воркшоп "КАМ-КК-Эфф. Взаимодействие"</t>
  </si>
  <si>
    <t>Lady (МП)</t>
  </si>
  <si>
    <t xml:space="preserve"> КОИНОТ АВТО</t>
  </si>
  <si>
    <t>Small room</t>
  </si>
  <si>
    <t xml:space="preserve">День открытых дверей 5-лет </t>
  </si>
  <si>
    <t xml:space="preserve"> AtS Gen</t>
  </si>
  <si>
    <t>11:45-15:30</t>
  </si>
  <si>
    <t>13:00-14:00</t>
  </si>
  <si>
    <t>Модуль "Клиентский путь"</t>
  </si>
  <si>
    <t>ТачМоторс/ КОИНОТ АВТО</t>
  </si>
  <si>
    <t xml:space="preserve">Александр Ломакин  </t>
  </si>
  <si>
    <t>10:00-17:00</t>
  </si>
  <si>
    <t>11:30-11:45
13:00-14:00
16:00-16:15</t>
  </si>
  <si>
    <t>Модуль "Закрытие сделки"</t>
  </si>
  <si>
    <t>ДеИ "Странные Переговоры"</t>
  </si>
  <si>
    <t>Модуль"CRM"</t>
  </si>
  <si>
    <t>ГО БЮД</t>
  </si>
  <si>
    <t>Модуль"Лидерство"</t>
  </si>
  <si>
    <t>Модуль"Премиум-клиент"</t>
  </si>
  <si>
    <t>Микс 10 (10-13лет)</t>
  </si>
  <si>
    <t>Воркшоп "Мышления роста"</t>
  </si>
  <si>
    <t>Саломат</t>
  </si>
  <si>
    <t>Spey (МП)</t>
  </si>
  <si>
    <t xml:space="preserve"> Презентация КрС для врачей </t>
  </si>
  <si>
    <t>30-35</t>
  </si>
  <si>
    <t>10:00-13:00</t>
  </si>
  <si>
    <t>11:00-11:10</t>
  </si>
  <si>
    <t>ГО ДИТ</t>
  </si>
  <si>
    <t>ИР/ИА</t>
  </si>
  <si>
    <t>ХА</t>
  </si>
  <si>
    <t>Махмад Салимович</t>
  </si>
  <si>
    <t>ТачМоторс</t>
  </si>
  <si>
    <t>Лидерство vs Власть</t>
  </si>
  <si>
    <t>Воркшоп "STP/SWOT/Кв.Декарта"</t>
  </si>
  <si>
    <t>Воркшоп "Психология продаж"</t>
  </si>
  <si>
    <t>Воркшоп "КФО/Дисциплина/Мотивация"</t>
  </si>
  <si>
    <t xml:space="preserve">Мастер-Класс «МЫШЛЕНИЕ САМОСТОЯТЕЛЬНОГО ЧЕЛОВЕКА» </t>
  </si>
  <si>
    <t>Микс 10 (14-17лет)</t>
  </si>
  <si>
    <t>ЗА</t>
  </si>
  <si>
    <t>Big-большой</t>
  </si>
  <si>
    <t>Модуль "MIRO" Альфа</t>
  </si>
  <si>
    <t>Модуль "Self-study"  Beta</t>
  </si>
  <si>
    <t>Модуль "Self-study"  Гамма</t>
  </si>
  <si>
    <t>ШС</t>
  </si>
  <si>
    <t>РШ</t>
  </si>
  <si>
    <t>Модуль"Инициативность и Настойчивость"</t>
  </si>
  <si>
    <t>Big малый</t>
  </si>
  <si>
    <t>Воркшоп "Интенсив-Стажёр ПК"</t>
  </si>
  <si>
    <t>Джаъфар Нуруллаев</t>
  </si>
  <si>
    <t>Защита КРИСП</t>
  </si>
  <si>
    <t>30-40</t>
  </si>
  <si>
    <t>Дусти Фарма (1гр)</t>
  </si>
  <si>
    <t xml:space="preserve">Дусти Фарма </t>
  </si>
  <si>
    <t>ИА/ХА</t>
  </si>
  <si>
    <t xml:space="preserve"> Brain Battle</t>
  </si>
  <si>
    <t>Дусти Фарма (2гр)</t>
  </si>
  <si>
    <t>Модуль (УНФ) "Менеджмент"</t>
  </si>
  <si>
    <t>TajMotors</t>
  </si>
  <si>
    <t>ИА</t>
  </si>
  <si>
    <t>Ёвар (1гр)</t>
  </si>
  <si>
    <t>КВЕСТ "Harry Potter"</t>
  </si>
  <si>
    <t>Big-большой, АКТ зал, Кружок, Vip-малый, Vip-большой</t>
  </si>
  <si>
    <t>14:00-17:30</t>
  </si>
  <si>
    <t>15:00-15:15</t>
  </si>
  <si>
    <t>Микс (внеш)</t>
  </si>
  <si>
    <t>Модуль"Проактивность"</t>
  </si>
  <si>
    <t xml:space="preserve"> Хонаи Ман</t>
  </si>
  <si>
    <t>09:00-12:01</t>
  </si>
  <si>
    <t>Модуль "Команда и Командаобразование"</t>
  </si>
  <si>
    <t>Воркшоп "Самостоятельность"</t>
  </si>
  <si>
    <t>Модуль "Коммуникации"  Дельта</t>
  </si>
  <si>
    <t>" Ассесмент-Интенсив"</t>
  </si>
  <si>
    <t>"Договор о сделке"</t>
  </si>
  <si>
    <t>Модуль "Коммуникации"</t>
  </si>
  <si>
    <t>ъ\</t>
  </si>
  <si>
    <t>ЁВАР (2гр)</t>
  </si>
  <si>
    <t>ЁВАР</t>
  </si>
  <si>
    <t>Воркшоп "SWOT/Декарт"</t>
  </si>
  <si>
    <t>УНФ "Коммуникация" Дебаты</t>
  </si>
  <si>
    <t>Коинот Авто</t>
  </si>
  <si>
    <t>Коинот Авто 1-2гр</t>
  </si>
  <si>
    <t>Интенсив (часть 2)</t>
  </si>
  <si>
    <t>Джафар Ибрагимович</t>
  </si>
  <si>
    <t xml:space="preserve"> УНФ "Менеджмент"</t>
  </si>
  <si>
    <t>ЁВАР (3гр)</t>
  </si>
  <si>
    <t>Модуль"Маркетинг"</t>
  </si>
  <si>
    <t>Тренинг</t>
  </si>
  <si>
    <t xml:space="preserve"> Чамшед Мирзаев</t>
  </si>
  <si>
    <t>ГО ДИТ/ АХД</t>
  </si>
  <si>
    <t>08:30-10:30</t>
  </si>
  <si>
    <t>Мастер-Класс 
"Ответственность и Инициативность"</t>
  </si>
  <si>
    <t>Махмад Каримов</t>
  </si>
  <si>
    <t>Дусти Фарма</t>
  </si>
  <si>
    <t>10:30-10:40</t>
  </si>
  <si>
    <t>ЖЛ/ДИ</t>
  </si>
  <si>
    <t>Small-room</t>
  </si>
  <si>
    <t>Воркшоп</t>
  </si>
  <si>
    <t>Ассесмент
"Тест-знаний"</t>
  </si>
  <si>
    <t>ДеИ "Странные переговоры"</t>
  </si>
  <si>
    <t>ДеИ "Катастрофа в Пустыне"</t>
  </si>
  <si>
    <t>Мастер-Класс 
"Настойчивость и Инициативность"</t>
  </si>
  <si>
    <t>Ассесмент
"Тест-знания"</t>
  </si>
  <si>
    <t>Праздник</t>
  </si>
  <si>
    <t>10:00-11:30</t>
  </si>
  <si>
    <t>Проект Рук.Фарм</t>
  </si>
  <si>
    <t>ДФП</t>
  </si>
  <si>
    <t>АК</t>
  </si>
  <si>
    <t>ДеИ "Странные переговорs"</t>
  </si>
  <si>
    <t>Модуль "Miro"  Alfa</t>
  </si>
  <si>
    <t>Big Малый</t>
  </si>
  <si>
    <t>Воркшоп
"Принятие Решений"</t>
  </si>
  <si>
    <t>ДеИ "Катастрофа в Пустыне</t>
  </si>
  <si>
    <t xml:space="preserve"> ДеИ "Кораблекрушение"</t>
  </si>
  <si>
    <t>09:00-10:40</t>
  </si>
  <si>
    <t>10:40-12:00</t>
  </si>
  <si>
    <t>ДеИ "Кораблекрушение"</t>
  </si>
  <si>
    <t>ДеИ "Катастрофа в Пустыне "</t>
  </si>
  <si>
    <t>Календ6арь ежедневных мероприятий БТЦ "AtS" (Май 2026)</t>
  </si>
  <si>
    <t>Белинда</t>
  </si>
  <si>
    <t>Арпи</t>
  </si>
  <si>
    <t xml:space="preserve">08:30- 12:30 </t>
  </si>
  <si>
    <t xml:space="preserve">Big малый </t>
  </si>
  <si>
    <t>09:30-09:40</t>
  </si>
  <si>
    <t>ТаджМоторс</t>
  </si>
  <si>
    <t>HR-микс</t>
  </si>
  <si>
    <t>09:00-16:30</t>
  </si>
  <si>
    <t>Small рум</t>
  </si>
  <si>
    <t>ТОП- Менеджмент</t>
  </si>
  <si>
    <t>10:00-16:30</t>
  </si>
  <si>
    <t>11:00-11:15
13:00-14:00
15:30-15:45</t>
  </si>
  <si>
    <t>ГО ФЭД- ГО ДИТ</t>
  </si>
  <si>
    <t xml:space="preserve">09:00- 12:30 </t>
  </si>
  <si>
    <t>10:30-10:40
12:00-13:00
14:30-14:40</t>
  </si>
  <si>
    <t>13:30-16:30</t>
  </si>
  <si>
    <t>14:30-14:40</t>
  </si>
  <si>
    <t>Вегафарм</t>
  </si>
  <si>
    <t>ЖЛ</t>
  </si>
  <si>
    <t>Саломат/Дусти Фарм</t>
  </si>
  <si>
    <t>AtS/ ГО ДЧР</t>
  </si>
  <si>
    <t>Воркшоп "Визиты к врачам + продукт"</t>
  </si>
  <si>
    <t>Проект "РУК ФАРМ"</t>
  </si>
  <si>
    <t>ГО ДФП</t>
  </si>
  <si>
    <t xml:space="preserve">“KOINOT FEST” </t>
  </si>
  <si>
    <t>Кохи Олимп</t>
  </si>
  <si>
    <t>18:00-22:00</t>
  </si>
  <si>
    <t>Лагерь "Киновселенная"</t>
  </si>
  <si>
    <t>11:00-17:00</t>
  </si>
  <si>
    <t>Микс (9-13лет)</t>
  </si>
  <si>
    <t>АКТ зал/ Бот.Сад</t>
  </si>
  <si>
    <t>АКТ зал/ Спорт зал</t>
  </si>
  <si>
    <t>12:00-12:30
15:00-15:10</t>
  </si>
  <si>
    <t>12:00-12:30
14:00-14:15</t>
  </si>
  <si>
    <t>ХА/ФШТ</t>
  </si>
  <si>
    <t>Модуль"Менеджмент"</t>
  </si>
  <si>
    <t>КрС "Маркетинг"</t>
  </si>
  <si>
    <t xml:space="preserve">09:00-12:00 </t>
  </si>
  <si>
    <t xml:space="preserve">09:00-11:00 </t>
  </si>
  <si>
    <t>ФМ/АХ</t>
  </si>
  <si>
    <t>Воркшоп "Исполнительность нового уровня: от задачи к результату"</t>
  </si>
  <si>
    <t xml:space="preserve"> ЖЛ</t>
  </si>
  <si>
    <t>Воркшоп "Интенсив-New(часть 2)"</t>
  </si>
  <si>
    <t>Тимбилдинг</t>
  </si>
  <si>
    <t>Альфа (14-16 лет)</t>
  </si>
  <si>
    <t xml:space="preserve">Альфа </t>
  </si>
  <si>
    <t>ХА/ФЮ</t>
  </si>
  <si>
    <t>Гиссар-дача</t>
  </si>
  <si>
    <t>ДН</t>
  </si>
  <si>
    <t xml:space="preserve"> ЖЛ/ДН</t>
  </si>
  <si>
    <t>Воркшоп "Сегментация/УТП"</t>
  </si>
  <si>
    <t>Воркшоп "Интерактив"</t>
  </si>
  <si>
    <t>Тренинг от Арпи Карапетян для ГК "КОИНОТИ НАВ"</t>
  </si>
  <si>
    <t>Микс(6-9лет)-Внеш</t>
  </si>
  <si>
    <t>Шахматный турнир- (6-9лет)-Внеш</t>
  </si>
  <si>
    <t>Тимбилдинг- Альфа</t>
  </si>
  <si>
    <t>Воркшоп "Трудный клиент"</t>
  </si>
  <si>
    <t>Воркшоп "ССП"</t>
  </si>
  <si>
    <t>Календ6арь ежедневных мероприятий БТЦ "AtS" (Июнь 2026)</t>
  </si>
  <si>
    <t>Викторина BS</t>
  </si>
  <si>
    <t>ГМ</t>
  </si>
  <si>
    <t>Телеграмм</t>
  </si>
  <si>
    <t>10:30-11:00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</si>
</sst>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6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8"/>
      <name val="Calibri"/>
      <family val="2"/>
      <charset val="204"/>
      <scheme val="minor"/>
    </font>
    <font>
      <i/>
      <sz val="10"/>
      <color theme="1"/>
      <name val="Times New Roman"/>
      <family val="1"/>
      <charset val="204"/>
    </font>
    <font>
      <i/>
      <sz val="12"/>
      <color rgb="FFFF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14" fontId="5" fillId="7" borderId="5" xfId="0" applyNumberFormat="1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20" fontId="3" fillId="5" borderId="5" xfId="1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 shrinkToFit="1"/>
    </xf>
    <xf numFmtId="0" fontId="3" fillId="3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 shrinkToFit="1"/>
    </xf>
    <xf numFmtId="20" fontId="3" fillId="8" borderId="5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4" fontId="4" fillId="5" borderId="5" xfId="0" applyNumberFormat="1" applyFont="1" applyFill="1" applyBorder="1" applyAlignment="1">
      <alignment horizontal="center" vertical="center" wrapText="1"/>
    </xf>
    <xf numFmtId="14" fontId="4" fillId="9" borderId="5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20" fontId="3" fillId="9" borderId="5" xfId="1" applyNumberFormat="1" applyFont="1" applyFill="1" applyBorder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20" fontId="4" fillId="9" borderId="5" xfId="1" applyNumberFormat="1" applyFont="1" applyFill="1" applyBorder="1" applyAlignment="1">
      <alignment horizontal="center" vertical="center" wrapText="1"/>
    </xf>
    <xf numFmtId="0" fontId="3" fillId="8" borderId="5" xfId="1" applyFont="1" applyFill="1" applyBorder="1" applyAlignment="1">
      <alignment horizontal="center" vertical="center" wrapText="1"/>
    </xf>
    <xf numFmtId="14" fontId="4" fillId="8" borderId="6" xfId="0" applyNumberFormat="1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20" fontId="3" fillId="5" borderId="6" xfId="1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4" fillId="8" borderId="7" xfId="0" applyNumberFormat="1" applyFont="1" applyFill="1" applyBorder="1" applyAlignment="1">
      <alignment horizontal="center" vertical="center" wrapText="1"/>
    </xf>
    <xf numFmtId="14" fontId="4" fillId="5" borderId="6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center" vertical="center" shrinkToFit="1"/>
    </xf>
    <xf numFmtId="0" fontId="3" fillId="10" borderId="6" xfId="0" applyFont="1" applyFill="1" applyBorder="1" applyAlignment="1">
      <alignment horizontal="center" vertical="center" wrapText="1"/>
    </xf>
    <xf numFmtId="20" fontId="3" fillId="10" borderId="6" xfId="1" applyNumberFormat="1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 shrinkToFit="1"/>
    </xf>
    <xf numFmtId="0" fontId="3" fillId="10" borderId="5" xfId="0" applyFont="1" applyFill="1" applyBorder="1" applyAlignment="1">
      <alignment horizontal="center" vertical="center" wrapText="1" shrinkToFit="1"/>
    </xf>
    <xf numFmtId="0" fontId="3" fillId="10" borderId="5" xfId="0" applyFont="1" applyFill="1" applyBorder="1" applyAlignment="1">
      <alignment horizontal="center" vertical="center" wrapText="1"/>
    </xf>
    <xf numFmtId="20" fontId="3" fillId="1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4" fontId="4" fillId="8" borderId="5" xfId="0" applyNumberFormat="1" applyFont="1" applyFill="1" applyBorder="1" applyAlignment="1">
      <alignment horizontal="center" vertical="center" wrapText="1"/>
    </xf>
    <xf numFmtId="49" fontId="3" fillId="10" borderId="5" xfId="0" applyNumberFormat="1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shrinkToFit="1"/>
    </xf>
    <xf numFmtId="20" fontId="3" fillId="2" borderId="6" xfId="1" applyNumberFormat="1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shrinkToFit="1"/>
    </xf>
    <xf numFmtId="14" fontId="4" fillId="5" borderId="7" xfId="0" applyNumberFormat="1" applyFont="1" applyFill="1" applyBorder="1" applyAlignment="1">
      <alignment horizontal="center" vertical="center" wrapText="1"/>
    </xf>
    <xf numFmtId="20" fontId="3" fillId="10" borderId="5" xfId="1" applyNumberFormat="1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14" fontId="3" fillId="8" borderId="6" xfId="0" applyNumberFormat="1" applyFont="1" applyFill="1" applyBorder="1" applyAlignment="1">
      <alignment horizontal="center" vertical="center" wrapText="1"/>
    </xf>
    <xf numFmtId="20" fontId="8" fillId="8" borderId="5" xfId="0" applyNumberFormat="1" applyFont="1" applyFill="1" applyBorder="1" applyAlignment="1">
      <alignment horizontal="center" vertical="center" wrapText="1"/>
    </xf>
    <xf numFmtId="14" fontId="3" fillId="10" borderId="6" xfId="0" applyNumberFormat="1" applyFont="1" applyFill="1" applyBorder="1" applyAlignment="1">
      <alignment horizontal="center" vertical="center" wrapText="1"/>
    </xf>
    <xf numFmtId="14" fontId="3" fillId="8" borderId="7" xfId="0" applyNumberFormat="1" applyFont="1" applyFill="1" applyBorder="1" applyAlignment="1">
      <alignment horizontal="center" vertical="center" wrapText="1"/>
    </xf>
    <xf numFmtId="14" fontId="3" fillId="8" borderId="6" xfId="0" applyNumberFormat="1" applyFont="1" applyFill="1" applyBorder="1" applyAlignment="1">
      <alignment horizontal="center" vertical="center" wrapText="1"/>
    </xf>
    <xf numFmtId="14" fontId="4" fillId="5" borderId="7" xfId="0" applyNumberFormat="1" applyFont="1" applyFill="1" applyBorder="1" applyAlignment="1">
      <alignment horizontal="center" vertical="center" wrapText="1"/>
    </xf>
    <xf numFmtId="14" fontId="4" fillId="5" borderId="6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3" fillId="8" borderId="8" xfId="0" applyNumberFormat="1" applyFont="1" applyFill="1" applyBorder="1" applyAlignment="1">
      <alignment horizontal="center" vertical="center" wrapText="1"/>
    </xf>
    <xf numFmtId="14" fontId="4" fillId="5" borderId="8" xfId="0" applyNumberFormat="1" applyFont="1" applyFill="1" applyBorder="1" applyAlignment="1">
      <alignment horizontal="center" vertical="center" wrapText="1"/>
    </xf>
    <xf numFmtId="14" fontId="4" fillId="8" borderId="7" xfId="0" applyNumberFormat="1" applyFont="1" applyFill="1" applyBorder="1" applyAlignment="1">
      <alignment horizontal="center" vertical="center" wrapText="1"/>
    </xf>
    <xf numFmtId="14" fontId="4" fillId="8" borderId="8" xfId="0" applyNumberFormat="1" applyFont="1" applyFill="1" applyBorder="1" applyAlignment="1">
      <alignment horizontal="center" vertical="center" wrapText="1"/>
    </xf>
    <xf numFmtId="14" fontId="4" fillId="8" borderId="6" xfId="0" applyNumberFormat="1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14" fontId="4" fillId="8" borderId="5" xfId="0" applyNumberFormat="1" applyFont="1" applyFill="1" applyBorder="1" applyAlignment="1">
      <alignment horizontal="center" vertical="center" wrapText="1"/>
    </xf>
    <xf numFmtId="14" fontId="4" fillId="5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 shrinkToFit="1"/>
    </xf>
  </cellXfs>
  <cellStyles count="2">
    <cellStyle name="Обычный" xfId="0" builtinId="0"/>
    <cellStyle name="Обычный 2" xfId="1" xr:uid="{36CCCEC9-5CA9-4B94-8BB5-4AC3DCE825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7A2A-D733-43B3-824D-0923A51BFA51}">
  <dimension ref="A1:P57"/>
  <sheetViews>
    <sheetView tabSelected="1" topLeftCell="A10" zoomScale="60" zoomScaleNormal="60" workbookViewId="0">
      <selection activeCell="M20" sqref="M20"/>
    </sheetView>
  </sheetViews>
  <sheetFormatPr defaultColWidth="9.109375" defaultRowHeight="15.6" x14ac:dyDescent="0.3"/>
  <cols>
    <col min="1" max="1" width="14.44140625" style="44" customWidth="1"/>
    <col min="2" max="2" width="24.44140625" style="45" customWidth="1"/>
    <col min="3" max="3" width="16.88671875" style="45" customWidth="1"/>
    <col min="4" max="4" width="59.6640625" style="45" customWidth="1"/>
    <col min="5" max="5" width="27.109375" style="45" customWidth="1"/>
    <col min="6" max="6" width="26.6640625" style="45" customWidth="1"/>
    <col min="7" max="7" width="25.109375" style="45" customWidth="1"/>
    <col min="8" max="8" width="16.6640625" style="45" customWidth="1"/>
    <col min="9" max="9" width="14.88671875" style="44" customWidth="1"/>
    <col min="10" max="10" width="17.6640625" style="44" customWidth="1"/>
    <col min="11" max="11" width="9.109375" style="1"/>
    <col min="12" max="12" width="9.33203125" style="1" bestFit="1" customWidth="1"/>
    <col min="13" max="13" width="57.21875" style="2" customWidth="1"/>
    <col min="14" max="14" width="13.33203125" style="1" bestFit="1" customWidth="1"/>
    <col min="15" max="15" width="9.33203125" style="1" bestFit="1" customWidth="1"/>
    <col min="16" max="16" width="10.44140625" style="1" customWidth="1"/>
    <col min="17" max="16384" width="9.109375" style="1"/>
  </cols>
  <sheetData>
    <row r="1" spans="1:16" ht="41.4" customHeight="1" thickBot="1" x14ac:dyDescent="0.35">
      <c r="A1" s="66" t="s">
        <v>348</v>
      </c>
      <c r="B1" s="67"/>
      <c r="C1" s="67"/>
      <c r="D1" s="67"/>
      <c r="E1" s="67"/>
      <c r="F1" s="67"/>
      <c r="G1" s="67"/>
      <c r="H1" s="67"/>
      <c r="I1" s="67"/>
      <c r="J1" s="67"/>
    </row>
    <row r="2" spans="1:16" ht="50.4" customHeight="1" x14ac:dyDescent="0.3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4" t="s">
        <v>7</v>
      </c>
      <c r="I2" s="7" t="s">
        <v>8</v>
      </c>
      <c r="J2" s="8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</row>
    <row r="3" spans="1:16" ht="16.2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L3" s="9"/>
      <c r="M3" s="9"/>
      <c r="N3" s="9"/>
      <c r="O3" s="9"/>
      <c r="P3" s="9"/>
    </row>
    <row r="4" spans="1:16" ht="28.2" customHeight="1" x14ac:dyDescent="0.3">
      <c r="A4" s="62">
        <v>46174</v>
      </c>
      <c r="B4" s="59" t="s">
        <v>293</v>
      </c>
      <c r="C4" s="31" t="s">
        <v>292</v>
      </c>
      <c r="D4" s="37" t="s">
        <v>258</v>
      </c>
      <c r="E4" s="32" t="s">
        <v>290</v>
      </c>
      <c r="F4" s="16" t="s">
        <v>291</v>
      </c>
      <c r="G4" s="12" t="s">
        <v>290</v>
      </c>
      <c r="H4" s="17" t="s">
        <v>294</v>
      </c>
      <c r="I4" s="18">
        <v>10</v>
      </c>
      <c r="J4" s="64" t="s">
        <v>24</v>
      </c>
      <c r="L4" s="55">
        <v>1</v>
      </c>
      <c r="M4" s="37" t="s">
        <v>342</v>
      </c>
      <c r="N4" s="56">
        <v>11</v>
      </c>
      <c r="O4" s="19">
        <v>11</v>
      </c>
      <c r="P4" s="19">
        <f>N4-O4</f>
        <v>0</v>
      </c>
    </row>
    <row r="5" spans="1:16" ht="28.2" customHeight="1" x14ac:dyDescent="0.3">
      <c r="A5" s="63"/>
      <c r="B5" s="59" t="s">
        <v>18</v>
      </c>
      <c r="C5" s="31" t="s">
        <v>48</v>
      </c>
      <c r="D5" s="37" t="s">
        <v>258</v>
      </c>
      <c r="E5" s="32" t="s">
        <v>295</v>
      </c>
      <c r="F5" s="16" t="s">
        <v>291</v>
      </c>
      <c r="G5" s="12" t="s">
        <v>295</v>
      </c>
      <c r="H5" s="17" t="s">
        <v>45</v>
      </c>
      <c r="I5" s="18">
        <v>15</v>
      </c>
      <c r="J5" s="65"/>
      <c r="L5" s="55">
        <v>2</v>
      </c>
      <c r="M5" s="14" t="s">
        <v>72</v>
      </c>
      <c r="N5" s="56">
        <v>4</v>
      </c>
      <c r="O5" s="19">
        <v>4</v>
      </c>
      <c r="P5" s="19">
        <f t="shared" ref="P5:P24" si="0">N5-O5</f>
        <v>0</v>
      </c>
    </row>
    <row r="6" spans="1:16" ht="39.6" x14ac:dyDescent="0.3">
      <c r="A6" s="62">
        <v>46175</v>
      </c>
      <c r="B6" s="59" t="s">
        <v>18</v>
      </c>
      <c r="C6" s="31" t="s">
        <v>297</v>
      </c>
      <c r="D6" s="37" t="s">
        <v>258</v>
      </c>
      <c r="E6" s="32" t="s">
        <v>296</v>
      </c>
      <c r="F6" s="16" t="s">
        <v>291</v>
      </c>
      <c r="G6" s="12" t="s">
        <v>296</v>
      </c>
      <c r="H6" s="60" t="s">
        <v>304</v>
      </c>
      <c r="I6" s="18">
        <v>22</v>
      </c>
      <c r="J6" s="64" t="s">
        <v>29</v>
      </c>
      <c r="L6" s="55">
        <v>3</v>
      </c>
      <c r="M6" s="14" t="s">
        <v>257</v>
      </c>
      <c r="N6" s="56">
        <v>3</v>
      </c>
      <c r="O6" s="19">
        <v>3</v>
      </c>
      <c r="P6" s="19">
        <f t="shared" si="0"/>
        <v>0</v>
      </c>
    </row>
    <row r="7" spans="1:16" ht="28.2" customHeight="1" x14ac:dyDescent="0.3">
      <c r="A7" s="63"/>
      <c r="B7" s="59" t="s">
        <v>298</v>
      </c>
      <c r="C7" s="31" t="s">
        <v>48</v>
      </c>
      <c r="D7" s="37" t="s">
        <v>72</v>
      </c>
      <c r="E7" s="32" t="s">
        <v>124</v>
      </c>
      <c r="F7" s="16" t="s">
        <v>338</v>
      </c>
      <c r="G7" s="12" t="s">
        <v>124</v>
      </c>
      <c r="H7" s="17" t="s">
        <v>45</v>
      </c>
      <c r="I7" s="18">
        <v>6</v>
      </c>
      <c r="J7" s="65"/>
      <c r="L7" s="55">
        <v>4</v>
      </c>
      <c r="M7" s="14" t="s">
        <v>212</v>
      </c>
      <c r="N7" s="56">
        <v>1</v>
      </c>
      <c r="O7" s="19">
        <v>1</v>
      </c>
      <c r="P7" s="19">
        <f t="shared" si="0"/>
        <v>0</v>
      </c>
    </row>
    <row r="8" spans="1:16" ht="39.6" x14ac:dyDescent="0.3">
      <c r="A8" s="62">
        <v>46176</v>
      </c>
      <c r="B8" s="59" t="s">
        <v>18</v>
      </c>
      <c r="C8" s="31" t="s">
        <v>300</v>
      </c>
      <c r="D8" s="37" t="s">
        <v>258</v>
      </c>
      <c r="E8" s="32" t="s">
        <v>299</v>
      </c>
      <c r="F8" s="16" t="s">
        <v>291</v>
      </c>
      <c r="G8" s="12" t="s">
        <v>299</v>
      </c>
      <c r="H8" s="60" t="s">
        <v>301</v>
      </c>
      <c r="I8" s="18">
        <v>20</v>
      </c>
      <c r="J8" s="64" t="s">
        <v>39</v>
      </c>
      <c r="L8" s="55">
        <v>5</v>
      </c>
      <c r="M8" s="14" t="s">
        <v>241</v>
      </c>
      <c r="N8" s="56">
        <v>1</v>
      </c>
      <c r="O8" s="19">
        <v>1</v>
      </c>
      <c r="P8" s="19">
        <f t="shared" si="0"/>
        <v>0</v>
      </c>
    </row>
    <row r="9" spans="1:16" ht="28.2" customHeight="1" x14ac:dyDescent="0.3">
      <c r="A9" s="63"/>
      <c r="B9" s="59" t="s">
        <v>298</v>
      </c>
      <c r="C9" s="13" t="s">
        <v>155</v>
      </c>
      <c r="D9" s="14" t="s">
        <v>257</v>
      </c>
      <c r="E9" s="15" t="s">
        <v>252</v>
      </c>
      <c r="F9" s="16" t="s">
        <v>171</v>
      </c>
      <c r="G9" s="12" t="s">
        <v>251</v>
      </c>
      <c r="H9" s="17" t="s">
        <v>55</v>
      </c>
      <c r="I9" s="18">
        <v>6</v>
      </c>
      <c r="J9" s="65"/>
      <c r="L9" s="55">
        <v>6</v>
      </c>
      <c r="M9" s="77" t="s">
        <v>311</v>
      </c>
      <c r="N9" s="56">
        <v>1</v>
      </c>
      <c r="O9" s="19">
        <v>0</v>
      </c>
      <c r="P9" s="19">
        <f t="shared" si="0"/>
        <v>1</v>
      </c>
    </row>
    <row r="10" spans="1:16" ht="39.6" x14ac:dyDescent="0.3">
      <c r="A10" s="59">
        <v>46177</v>
      </c>
      <c r="B10" s="59" t="s">
        <v>18</v>
      </c>
      <c r="C10" s="31" t="s">
        <v>297</v>
      </c>
      <c r="D10" s="37" t="s">
        <v>258</v>
      </c>
      <c r="E10" s="15" t="s">
        <v>248</v>
      </c>
      <c r="F10" s="16" t="s">
        <v>291</v>
      </c>
      <c r="G10" s="12" t="s">
        <v>248</v>
      </c>
      <c r="H10" s="60" t="s">
        <v>304</v>
      </c>
      <c r="I10" s="18">
        <v>24</v>
      </c>
      <c r="J10" s="22" t="s">
        <v>41</v>
      </c>
      <c r="L10" s="55">
        <v>7</v>
      </c>
      <c r="M10" s="14" t="s">
        <v>312</v>
      </c>
      <c r="N10" s="56">
        <v>2</v>
      </c>
      <c r="O10" s="19">
        <v>2</v>
      </c>
      <c r="P10" s="19">
        <f t="shared" si="0"/>
        <v>0</v>
      </c>
    </row>
    <row r="11" spans="1:16" ht="39.6" x14ac:dyDescent="0.3">
      <c r="A11" s="59">
        <v>46178</v>
      </c>
      <c r="B11" s="59" t="s">
        <v>18</v>
      </c>
      <c r="C11" s="31" t="s">
        <v>297</v>
      </c>
      <c r="D11" s="37" t="s">
        <v>258</v>
      </c>
      <c r="E11" s="15" t="s">
        <v>248</v>
      </c>
      <c r="F11" s="16" t="s">
        <v>291</v>
      </c>
      <c r="G11" s="12" t="s">
        <v>248</v>
      </c>
      <c r="H11" s="60" t="s">
        <v>304</v>
      </c>
      <c r="I11" s="18">
        <v>18</v>
      </c>
      <c r="J11" s="22" t="s">
        <v>42</v>
      </c>
      <c r="L11" s="55">
        <v>8</v>
      </c>
      <c r="M11" s="14" t="s">
        <v>314</v>
      </c>
      <c r="N11" s="56">
        <v>1</v>
      </c>
      <c r="O11" s="19">
        <v>1</v>
      </c>
      <c r="P11" s="19">
        <f t="shared" si="0"/>
        <v>0</v>
      </c>
    </row>
    <row r="12" spans="1:16" ht="28.2" customHeight="1" x14ac:dyDescent="0.3">
      <c r="A12" s="62">
        <v>46179</v>
      </c>
      <c r="B12" s="30" t="s">
        <v>142</v>
      </c>
      <c r="C12" s="31" t="s">
        <v>43</v>
      </c>
      <c r="D12" s="37" t="s">
        <v>212</v>
      </c>
      <c r="E12" s="32" t="s">
        <v>209</v>
      </c>
      <c r="F12" s="16" t="s">
        <v>210</v>
      </c>
      <c r="G12" s="12" t="s">
        <v>21</v>
      </c>
      <c r="H12" s="17" t="s">
        <v>45</v>
      </c>
      <c r="I12" s="18">
        <v>10</v>
      </c>
      <c r="J12" s="64" t="s">
        <v>46</v>
      </c>
      <c r="L12" s="55">
        <v>9</v>
      </c>
      <c r="M12" s="14" t="s">
        <v>340</v>
      </c>
      <c r="N12" s="56">
        <v>1</v>
      </c>
      <c r="O12" s="19">
        <v>1</v>
      </c>
      <c r="P12" s="19">
        <f t="shared" si="0"/>
        <v>0</v>
      </c>
    </row>
    <row r="13" spans="1:16" ht="28.2" customHeight="1" x14ac:dyDescent="0.3">
      <c r="A13" s="63"/>
      <c r="B13" s="59" t="s">
        <v>298</v>
      </c>
      <c r="C13" s="31" t="s">
        <v>71</v>
      </c>
      <c r="D13" s="14" t="s">
        <v>241</v>
      </c>
      <c r="E13" s="15" t="s">
        <v>193</v>
      </c>
      <c r="F13" s="16" t="s">
        <v>230</v>
      </c>
      <c r="G13" s="12" t="s">
        <v>193</v>
      </c>
      <c r="H13" s="17" t="s">
        <v>45</v>
      </c>
      <c r="I13" s="18">
        <v>11</v>
      </c>
      <c r="J13" s="65"/>
      <c r="L13" s="55">
        <v>10</v>
      </c>
      <c r="M13" s="14" t="s">
        <v>349</v>
      </c>
      <c r="N13" s="56">
        <v>1</v>
      </c>
      <c r="O13" s="19">
        <v>1</v>
      </c>
      <c r="P13" s="19">
        <f t="shared" si="0"/>
        <v>0</v>
      </c>
    </row>
    <row r="14" spans="1:16" ht="28.2" customHeight="1" x14ac:dyDescent="0.3">
      <c r="A14" s="24"/>
      <c r="B14" s="24"/>
      <c r="C14" s="25"/>
      <c r="D14" s="26"/>
      <c r="E14" s="24"/>
      <c r="F14" s="26"/>
      <c r="G14" s="24"/>
      <c r="H14" s="24"/>
      <c r="I14" s="24"/>
      <c r="J14" s="27"/>
      <c r="L14" s="55">
        <v>11</v>
      </c>
      <c r="M14" s="14" t="s">
        <v>341</v>
      </c>
      <c r="N14" s="56">
        <v>1</v>
      </c>
      <c r="O14" s="19">
        <v>1</v>
      </c>
      <c r="P14" s="19">
        <f t="shared" si="0"/>
        <v>0</v>
      </c>
    </row>
    <row r="15" spans="1:16" ht="28.2" customHeight="1" x14ac:dyDescent="0.3">
      <c r="A15" s="62">
        <v>46181</v>
      </c>
      <c r="B15" s="59" t="s">
        <v>18</v>
      </c>
      <c r="C15" s="13" t="s">
        <v>303</v>
      </c>
      <c r="D15" s="14" t="s">
        <v>258</v>
      </c>
      <c r="E15" s="15" t="s">
        <v>302</v>
      </c>
      <c r="F15" s="16" t="s">
        <v>291</v>
      </c>
      <c r="G15" s="12" t="s">
        <v>302</v>
      </c>
      <c r="H15" s="17" t="s">
        <v>55</v>
      </c>
      <c r="I15" s="18">
        <v>24</v>
      </c>
      <c r="J15" s="64" t="s">
        <v>24</v>
      </c>
      <c r="L15" s="55">
        <v>12</v>
      </c>
      <c r="M15" s="14" t="s">
        <v>317</v>
      </c>
      <c r="N15" s="57">
        <v>5</v>
      </c>
      <c r="O15" s="21">
        <v>5</v>
      </c>
      <c r="P15" s="19">
        <f t="shared" si="0"/>
        <v>0</v>
      </c>
    </row>
    <row r="16" spans="1:16" ht="28.2" customHeight="1" x14ac:dyDescent="0.3">
      <c r="A16" s="63"/>
      <c r="B16" s="59" t="s">
        <v>18</v>
      </c>
      <c r="C16" s="31" t="s">
        <v>305</v>
      </c>
      <c r="D16" s="14" t="s">
        <v>258</v>
      </c>
      <c r="E16" s="15" t="s">
        <v>58</v>
      </c>
      <c r="F16" s="16" t="s">
        <v>291</v>
      </c>
      <c r="G16" s="12" t="s">
        <v>58</v>
      </c>
      <c r="H16" s="17" t="s">
        <v>306</v>
      </c>
      <c r="I16" s="18">
        <v>9</v>
      </c>
      <c r="J16" s="65"/>
      <c r="L16" s="55">
        <v>13</v>
      </c>
      <c r="M16" s="14" t="s">
        <v>344</v>
      </c>
      <c r="N16" s="57">
        <v>1</v>
      </c>
      <c r="O16" s="21">
        <v>1</v>
      </c>
      <c r="P16" s="19">
        <f t="shared" si="0"/>
        <v>0</v>
      </c>
    </row>
    <row r="17" spans="1:16" ht="28.2" customHeight="1" x14ac:dyDescent="0.3">
      <c r="A17" s="62">
        <v>46182</v>
      </c>
      <c r="B17" s="59" t="s">
        <v>18</v>
      </c>
      <c r="C17" s="13" t="s">
        <v>303</v>
      </c>
      <c r="D17" s="14" t="s">
        <v>258</v>
      </c>
      <c r="E17" s="15" t="s">
        <v>57</v>
      </c>
      <c r="F17" s="16" t="s">
        <v>291</v>
      </c>
      <c r="G17" s="12" t="s">
        <v>57</v>
      </c>
      <c r="H17" s="17" t="s">
        <v>55</v>
      </c>
      <c r="I17" s="18">
        <v>30</v>
      </c>
      <c r="J17" s="64" t="s">
        <v>29</v>
      </c>
      <c r="L17" s="55">
        <v>14</v>
      </c>
      <c r="M17" s="14" t="s">
        <v>325</v>
      </c>
      <c r="N17" s="56">
        <v>1</v>
      </c>
      <c r="O17" s="19">
        <v>1</v>
      </c>
      <c r="P17" s="19">
        <f t="shared" si="0"/>
        <v>0</v>
      </c>
    </row>
    <row r="18" spans="1:16" ht="28.2" customHeight="1" x14ac:dyDescent="0.3">
      <c r="A18" s="68"/>
      <c r="B18" s="59" t="s">
        <v>18</v>
      </c>
      <c r="C18" s="31" t="s">
        <v>305</v>
      </c>
      <c r="D18" s="14" t="s">
        <v>258</v>
      </c>
      <c r="E18" s="15" t="s">
        <v>307</v>
      </c>
      <c r="F18" s="16" t="s">
        <v>291</v>
      </c>
      <c r="G18" s="12" t="s">
        <v>307</v>
      </c>
      <c r="H18" s="17" t="s">
        <v>306</v>
      </c>
      <c r="I18" s="18">
        <v>25</v>
      </c>
      <c r="J18" s="69"/>
      <c r="L18" s="55">
        <v>15</v>
      </c>
      <c r="M18" s="77" t="s">
        <v>330</v>
      </c>
      <c r="N18" s="56">
        <v>1</v>
      </c>
      <c r="O18" s="19">
        <v>0</v>
      </c>
      <c r="P18" s="19">
        <f t="shared" si="0"/>
        <v>1</v>
      </c>
    </row>
    <row r="19" spans="1:16" ht="28.2" customHeight="1" x14ac:dyDescent="0.3">
      <c r="A19" s="63"/>
      <c r="B19" s="30" t="s">
        <v>142</v>
      </c>
      <c r="C19" s="31" t="s">
        <v>43</v>
      </c>
      <c r="D19" s="37" t="s">
        <v>72</v>
      </c>
      <c r="E19" s="32" t="s">
        <v>138</v>
      </c>
      <c r="F19" s="16" t="s">
        <v>308</v>
      </c>
      <c r="G19" s="12" t="s">
        <v>138</v>
      </c>
      <c r="H19" s="17" t="s">
        <v>45</v>
      </c>
      <c r="I19" s="18">
        <v>14</v>
      </c>
      <c r="J19" s="65"/>
      <c r="L19" s="55">
        <v>16</v>
      </c>
      <c r="M19" s="14" t="s">
        <v>326</v>
      </c>
      <c r="N19" s="56">
        <v>1</v>
      </c>
      <c r="O19" s="19">
        <v>1</v>
      </c>
      <c r="P19" s="19">
        <f t="shared" si="0"/>
        <v>0</v>
      </c>
    </row>
    <row r="20" spans="1:16" ht="28.2" customHeight="1" x14ac:dyDescent="0.3">
      <c r="A20" s="62">
        <v>46183</v>
      </c>
      <c r="B20" s="59" t="s">
        <v>18</v>
      </c>
      <c r="C20" s="13" t="s">
        <v>303</v>
      </c>
      <c r="D20" s="14" t="s">
        <v>258</v>
      </c>
      <c r="E20" s="15" t="s">
        <v>309</v>
      </c>
      <c r="F20" s="16" t="s">
        <v>291</v>
      </c>
      <c r="G20" s="12" t="s">
        <v>309</v>
      </c>
      <c r="H20" s="17" t="s">
        <v>55</v>
      </c>
      <c r="I20" s="18">
        <v>18</v>
      </c>
      <c r="J20" s="64" t="s">
        <v>39</v>
      </c>
      <c r="L20" s="55">
        <v>17</v>
      </c>
      <c r="M20" s="14" t="s">
        <v>332</v>
      </c>
      <c r="N20" s="56">
        <v>1</v>
      </c>
      <c r="O20" s="19">
        <v>1</v>
      </c>
      <c r="P20" s="19">
        <f t="shared" si="0"/>
        <v>0</v>
      </c>
    </row>
    <row r="21" spans="1:16" ht="28.2" customHeight="1" x14ac:dyDescent="0.3">
      <c r="A21" s="68"/>
      <c r="B21" s="59" t="s">
        <v>298</v>
      </c>
      <c r="C21" s="13" t="s">
        <v>155</v>
      </c>
      <c r="D21" s="14" t="s">
        <v>257</v>
      </c>
      <c r="E21" s="15" t="s">
        <v>252</v>
      </c>
      <c r="F21" s="16" t="s">
        <v>171</v>
      </c>
      <c r="G21" s="12" t="s">
        <v>251</v>
      </c>
      <c r="H21" s="17" t="s">
        <v>55</v>
      </c>
      <c r="I21" s="18">
        <v>9</v>
      </c>
      <c r="J21" s="69"/>
      <c r="L21" s="55">
        <v>18</v>
      </c>
      <c r="M21" s="14" t="s">
        <v>345</v>
      </c>
      <c r="N21" s="56">
        <v>1</v>
      </c>
      <c r="O21" s="19">
        <v>1</v>
      </c>
      <c r="P21" s="19">
        <f t="shared" si="0"/>
        <v>0</v>
      </c>
    </row>
    <row r="22" spans="1:16" ht="28.2" customHeight="1" x14ac:dyDescent="0.3">
      <c r="A22" s="68"/>
      <c r="B22" s="59" t="s">
        <v>84</v>
      </c>
      <c r="C22" s="31" t="s">
        <v>305</v>
      </c>
      <c r="D22" s="37" t="s">
        <v>72</v>
      </c>
      <c r="E22" s="15" t="s">
        <v>310</v>
      </c>
      <c r="F22" s="16" t="s">
        <v>291</v>
      </c>
      <c r="G22" s="12" t="s">
        <v>310</v>
      </c>
      <c r="H22" s="17" t="s">
        <v>139</v>
      </c>
      <c r="I22" s="18">
        <v>7</v>
      </c>
      <c r="J22" s="69"/>
      <c r="L22" s="55">
        <v>19</v>
      </c>
      <c r="M22" s="77" t="s">
        <v>206</v>
      </c>
      <c r="N22" s="56">
        <v>1</v>
      </c>
      <c r="O22" s="19">
        <v>0</v>
      </c>
      <c r="P22" s="19">
        <f t="shared" si="0"/>
        <v>1</v>
      </c>
    </row>
    <row r="23" spans="1:16" ht="28.2" customHeight="1" x14ac:dyDescent="0.3">
      <c r="A23" s="63"/>
      <c r="B23" s="61" t="s">
        <v>293</v>
      </c>
      <c r="C23" s="39" t="s">
        <v>43</v>
      </c>
      <c r="D23" s="41" t="s">
        <v>311</v>
      </c>
      <c r="E23" s="42" t="s">
        <v>102</v>
      </c>
      <c r="F23" s="41" t="s">
        <v>339</v>
      </c>
      <c r="G23" s="42" t="s">
        <v>102</v>
      </c>
      <c r="H23" s="43" t="s">
        <v>45</v>
      </c>
      <c r="I23" s="42">
        <v>10</v>
      </c>
      <c r="J23" s="65"/>
      <c r="L23" s="55">
        <v>20</v>
      </c>
      <c r="M23" s="14" t="s">
        <v>346</v>
      </c>
      <c r="N23" s="56">
        <v>1</v>
      </c>
      <c r="O23" s="19">
        <v>1</v>
      </c>
      <c r="P23" s="19">
        <f t="shared" si="0"/>
        <v>0</v>
      </c>
    </row>
    <row r="24" spans="1:16" ht="28.2" customHeight="1" x14ac:dyDescent="0.3">
      <c r="A24" s="59">
        <v>46184</v>
      </c>
      <c r="B24" s="59"/>
      <c r="C24" s="31"/>
      <c r="D24" s="14"/>
      <c r="E24" s="15"/>
      <c r="F24" s="16"/>
      <c r="G24" s="12"/>
      <c r="H24" s="17"/>
      <c r="I24" s="18"/>
      <c r="J24" s="22" t="s">
        <v>41</v>
      </c>
      <c r="L24" s="55">
        <v>21</v>
      </c>
      <c r="M24" s="37" t="s">
        <v>347</v>
      </c>
      <c r="N24" s="56">
        <v>1</v>
      </c>
      <c r="O24" s="19">
        <v>1</v>
      </c>
      <c r="P24" s="19">
        <f t="shared" si="0"/>
        <v>0</v>
      </c>
    </row>
    <row r="25" spans="1:16" ht="28.2" customHeight="1" x14ac:dyDescent="0.3">
      <c r="A25" s="59">
        <v>46185</v>
      </c>
      <c r="B25" s="59" t="s">
        <v>298</v>
      </c>
      <c r="C25" s="13" t="s">
        <v>155</v>
      </c>
      <c r="D25" s="14" t="s">
        <v>312</v>
      </c>
      <c r="E25" s="15" t="s">
        <v>313</v>
      </c>
      <c r="F25" s="16" t="s">
        <v>278</v>
      </c>
      <c r="G25" s="12" t="s">
        <v>313</v>
      </c>
      <c r="H25" s="17" t="s">
        <v>55</v>
      </c>
      <c r="I25" s="18">
        <v>9</v>
      </c>
      <c r="J25" s="22" t="s">
        <v>42</v>
      </c>
      <c r="M25" s="1"/>
      <c r="N25" s="1">
        <f>SUM(N4:N24)</f>
        <v>41</v>
      </c>
      <c r="O25" s="1">
        <f>SUM(O4:O24)</f>
        <v>38</v>
      </c>
      <c r="P25" s="1">
        <f>SUM(P4:P24)</f>
        <v>3</v>
      </c>
    </row>
    <row r="26" spans="1:16" ht="28.2" customHeight="1" x14ac:dyDescent="0.3">
      <c r="A26" s="59">
        <v>46186</v>
      </c>
      <c r="B26" s="59" t="s">
        <v>315</v>
      </c>
      <c r="C26" s="13" t="s">
        <v>316</v>
      </c>
      <c r="D26" s="14" t="s">
        <v>314</v>
      </c>
      <c r="E26" s="15" t="s">
        <v>21</v>
      </c>
      <c r="F26" s="12" t="s">
        <v>310</v>
      </c>
      <c r="G26" s="12" t="s">
        <v>21</v>
      </c>
      <c r="H26" s="17" t="s">
        <v>139</v>
      </c>
      <c r="I26" s="18">
        <v>1500</v>
      </c>
      <c r="J26" s="22" t="s">
        <v>46</v>
      </c>
      <c r="M26" s="1"/>
    </row>
    <row r="27" spans="1:16" ht="28.2" customHeight="1" x14ac:dyDescent="0.3">
      <c r="A27" s="24"/>
      <c r="B27" s="24"/>
      <c r="C27" s="25"/>
      <c r="D27" s="26"/>
      <c r="E27" s="24"/>
      <c r="F27" s="26"/>
      <c r="G27" s="24"/>
      <c r="H27" s="24"/>
      <c r="I27" s="24"/>
      <c r="J27" s="24"/>
      <c r="M27" s="1"/>
    </row>
    <row r="28" spans="1:16" ht="28.2" customHeight="1" x14ac:dyDescent="0.3">
      <c r="A28" s="59">
        <v>46188</v>
      </c>
      <c r="B28" s="30"/>
      <c r="C28" s="13"/>
      <c r="D28" s="14"/>
      <c r="E28" s="15"/>
      <c r="F28" s="16"/>
      <c r="G28" s="12"/>
      <c r="H28" s="17"/>
      <c r="I28" s="18"/>
      <c r="J28" s="22" t="s">
        <v>24</v>
      </c>
      <c r="M28" s="1"/>
    </row>
    <row r="29" spans="1:16" ht="28.2" customHeight="1" x14ac:dyDescent="0.3">
      <c r="A29" s="59">
        <v>46189</v>
      </c>
      <c r="B29" s="59" t="s">
        <v>298</v>
      </c>
      <c r="C29" s="31" t="s">
        <v>43</v>
      </c>
      <c r="D29" s="14" t="s">
        <v>340</v>
      </c>
      <c r="E29" s="15" t="s">
        <v>290</v>
      </c>
      <c r="F29" s="16" t="s">
        <v>308</v>
      </c>
      <c r="G29" s="12" t="s">
        <v>290</v>
      </c>
      <c r="H29" s="17" t="s">
        <v>45</v>
      </c>
      <c r="I29" s="18">
        <v>7</v>
      </c>
      <c r="J29" s="22" t="s">
        <v>29</v>
      </c>
      <c r="M29" s="1"/>
    </row>
    <row r="30" spans="1:16" ht="28.2" customHeight="1" x14ac:dyDescent="0.3">
      <c r="A30" s="59">
        <v>46190</v>
      </c>
      <c r="B30" s="59" t="s">
        <v>298</v>
      </c>
      <c r="C30" s="13" t="s">
        <v>155</v>
      </c>
      <c r="D30" s="14" t="s">
        <v>257</v>
      </c>
      <c r="E30" s="15" t="s">
        <v>252</v>
      </c>
      <c r="F30" s="16" t="s">
        <v>171</v>
      </c>
      <c r="G30" s="12" t="s">
        <v>251</v>
      </c>
      <c r="H30" s="17" t="s">
        <v>55</v>
      </c>
      <c r="I30" s="18">
        <v>6</v>
      </c>
      <c r="J30" s="34"/>
      <c r="M30" s="1"/>
    </row>
    <row r="31" spans="1:16" ht="28.2" customHeight="1" x14ac:dyDescent="0.3">
      <c r="A31" s="59">
        <v>46191</v>
      </c>
      <c r="B31" s="59" t="s">
        <v>298</v>
      </c>
      <c r="C31" s="31" t="s">
        <v>43</v>
      </c>
      <c r="D31" s="14" t="s">
        <v>341</v>
      </c>
      <c r="E31" s="15" t="s">
        <v>290</v>
      </c>
      <c r="F31" s="16" t="s">
        <v>308</v>
      </c>
      <c r="G31" s="12" t="s">
        <v>290</v>
      </c>
      <c r="H31" s="17" t="s">
        <v>45</v>
      </c>
      <c r="I31" s="18">
        <v>7</v>
      </c>
      <c r="J31" s="22" t="s">
        <v>41</v>
      </c>
      <c r="M31" s="1"/>
    </row>
    <row r="32" spans="1:16" ht="28.2" customHeight="1" x14ac:dyDescent="0.3">
      <c r="A32" s="59">
        <v>46192</v>
      </c>
      <c r="B32" s="59" t="s">
        <v>298</v>
      </c>
      <c r="C32" s="31" t="s">
        <v>43</v>
      </c>
      <c r="D32" s="14" t="s">
        <v>72</v>
      </c>
      <c r="E32" s="15" t="s">
        <v>290</v>
      </c>
      <c r="F32" s="16" t="s">
        <v>308</v>
      </c>
      <c r="G32" s="12" t="s">
        <v>290</v>
      </c>
      <c r="H32" s="17" t="s">
        <v>45</v>
      </c>
      <c r="I32" s="18">
        <v>6</v>
      </c>
      <c r="J32" s="22" t="s">
        <v>42</v>
      </c>
    </row>
    <row r="33" spans="1:10" ht="28.2" customHeight="1" x14ac:dyDescent="0.3">
      <c r="A33" s="59">
        <v>46193</v>
      </c>
      <c r="B33" s="59" t="s">
        <v>298</v>
      </c>
      <c r="C33" s="13" t="s">
        <v>155</v>
      </c>
      <c r="D33" s="14" t="s">
        <v>312</v>
      </c>
      <c r="E33" s="15" t="s">
        <v>313</v>
      </c>
      <c r="F33" s="16" t="s">
        <v>278</v>
      </c>
      <c r="G33" s="12" t="s">
        <v>313</v>
      </c>
      <c r="H33" s="17" t="s">
        <v>55</v>
      </c>
      <c r="I33" s="18">
        <v>9</v>
      </c>
      <c r="J33" s="22" t="s">
        <v>46</v>
      </c>
    </row>
    <row r="34" spans="1:10" ht="28.2" customHeight="1" x14ac:dyDescent="0.3">
      <c r="A34" s="24"/>
      <c r="B34" s="24"/>
      <c r="C34" s="25"/>
      <c r="D34" s="26"/>
      <c r="E34" s="24"/>
      <c r="F34" s="26"/>
      <c r="G34" s="24"/>
      <c r="H34" s="24"/>
      <c r="I34" s="24"/>
      <c r="J34" s="24"/>
    </row>
    <row r="35" spans="1:10" ht="31.2" x14ac:dyDescent="0.3">
      <c r="A35" s="59">
        <v>46195</v>
      </c>
      <c r="B35" s="59" t="s">
        <v>320</v>
      </c>
      <c r="C35" s="13" t="s">
        <v>318</v>
      </c>
      <c r="D35" s="14" t="s">
        <v>317</v>
      </c>
      <c r="E35" s="15" t="s">
        <v>319</v>
      </c>
      <c r="F35" s="16" t="s">
        <v>22</v>
      </c>
      <c r="G35" s="12" t="s">
        <v>21</v>
      </c>
      <c r="H35" s="17" t="s">
        <v>322</v>
      </c>
      <c r="I35" s="18">
        <v>18</v>
      </c>
      <c r="J35" s="22" t="s">
        <v>24</v>
      </c>
    </row>
    <row r="36" spans="1:10" ht="31.2" x14ac:dyDescent="0.3">
      <c r="A36" s="62">
        <v>46196</v>
      </c>
      <c r="B36" s="59" t="s">
        <v>321</v>
      </c>
      <c r="C36" s="13" t="s">
        <v>318</v>
      </c>
      <c r="D36" s="14" t="s">
        <v>317</v>
      </c>
      <c r="E36" s="15" t="s">
        <v>319</v>
      </c>
      <c r="F36" s="16" t="s">
        <v>22</v>
      </c>
      <c r="G36" s="12" t="s">
        <v>21</v>
      </c>
      <c r="H36" s="17" t="s">
        <v>322</v>
      </c>
      <c r="I36" s="18">
        <v>18</v>
      </c>
      <c r="J36" s="64" t="s">
        <v>29</v>
      </c>
    </row>
    <row r="37" spans="1:10" ht="29.4" customHeight="1" x14ac:dyDescent="0.3">
      <c r="A37" s="63"/>
      <c r="B37" s="59" t="s">
        <v>211</v>
      </c>
      <c r="C37" s="13" t="s">
        <v>71</v>
      </c>
      <c r="D37" s="14" t="s">
        <v>153</v>
      </c>
      <c r="E37" s="15" t="s">
        <v>343</v>
      </c>
      <c r="F37" s="16" t="s">
        <v>324</v>
      </c>
      <c r="G37" s="12" t="s">
        <v>21</v>
      </c>
      <c r="H37" s="17" t="s">
        <v>45</v>
      </c>
      <c r="I37" s="18">
        <v>23</v>
      </c>
      <c r="J37" s="65"/>
    </row>
    <row r="38" spans="1:10" ht="31.2" x14ac:dyDescent="0.3">
      <c r="A38" s="62">
        <v>46197</v>
      </c>
      <c r="B38" s="59" t="s">
        <v>18</v>
      </c>
      <c r="C38" s="13" t="s">
        <v>318</v>
      </c>
      <c r="D38" s="14" t="s">
        <v>317</v>
      </c>
      <c r="E38" s="15" t="s">
        <v>319</v>
      </c>
      <c r="F38" s="16" t="s">
        <v>22</v>
      </c>
      <c r="G38" s="12" t="s">
        <v>21</v>
      </c>
      <c r="H38" s="17" t="s">
        <v>322</v>
      </c>
      <c r="I38" s="18">
        <v>18</v>
      </c>
      <c r="J38" s="64" t="s">
        <v>39</v>
      </c>
    </row>
    <row r="39" spans="1:10" ht="29.4" customHeight="1" x14ac:dyDescent="0.3">
      <c r="A39" s="63"/>
      <c r="B39" s="59" t="s">
        <v>298</v>
      </c>
      <c r="C39" s="13" t="s">
        <v>155</v>
      </c>
      <c r="D39" s="14" t="s">
        <v>325</v>
      </c>
      <c r="E39" s="15" t="s">
        <v>252</v>
      </c>
      <c r="F39" s="16" t="s">
        <v>171</v>
      </c>
      <c r="G39" s="12" t="s">
        <v>251</v>
      </c>
      <c r="H39" s="17" t="s">
        <v>55</v>
      </c>
      <c r="I39" s="18">
        <v>7</v>
      </c>
      <c r="J39" s="65"/>
    </row>
    <row r="40" spans="1:10" ht="27.6" customHeight="1" x14ac:dyDescent="0.3">
      <c r="A40" s="62">
        <v>46198</v>
      </c>
      <c r="B40" s="59" t="s">
        <v>211</v>
      </c>
      <c r="C40" s="13" t="s">
        <v>328</v>
      </c>
      <c r="D40" s="14" t="s">
        <v>326</v>
      </c>
      <c r="E40" s="15" t="s">
        <v>21</v>
      </c>
      <c r="F40" s="16" t="s">
        <v>329</v>
      </c>
      <c r="G40" s="12" t="s">
        <v>21</v>
      </c>
      <c r="H40" s="17" t="s">
        <v>139</v>
      </c>
      <c r="I40" s="18">
        <v>23</v>
      </c>
      <c r="J40" s="64" t="s">
        <v>41</v>
      </c>
    </row>
    <row r="41" spans="1:10" ht="31.2" x14ac:dyDescent="0.3">
      <c r="A41" s="68"/>
      <c r="B41" s="61" t="s">
        <v>218</v>
      </c>
      <c r="C41" s="53" t="s">
        <v>327</v>
      </c>
      <c r="D41" s="41" t="s">
        <v>330</v>
      </c>
      <c r="E41" s="42" t="s">
        <v>57</v>
      </c>
      <c r="F41" s="41" t="s">
        <v>230</v>
      </c>
      <c r="G41" s="42" t="s">
        <v>57</v>
      </c>
      <c r="H41" s="43" t="s">
        <v>55</v>
      </c>
      <c r="I41" s="42">
        <v>13</v>
      </c>
      <c r="J41" s="69"/>
    </row>
    <row r="42" spans="1:10" ht="27.6" customHeight="1" x14ac:dyDescent="0.3">
      <c r="A42" s="68"/>
      <c r="B42" s="59" t="s">
        <v>351</v>
      </c>
      <c r="C42" s="31" t="s">
        <v>352</v>
      </c>
      <c r="D42" s="14" t="s">
        <v>349</v>
      </c>
      <c r="E42" s="15" t="s">
        <v>21</v>
      </c>
      <c r="F42" s="16" t="s">
        <v>350</v>
      </c>
      <c r="G42" s="12" t="s">
        <v>21</v>
      </c>
      <c r="H42" s="17" t="s">
        <v>139</v>
      </c>
      <c r="I42" s="18">
        <v>5</v>
      </c>
      <c r="J42" s="69"/>
    </row>
    <row r="43" spans="1:10" ht="27.6" customHeight="1" x14ac:dyDescent="0.3">
      <c r="A43" s="68"/>
      <c r="B43" s="59" t="s">
        <v>18</v>
      </c>
      <c r="C43" s="13" t="s">
        <v>318</v>
      </c>
      <c r="D43" s="14" t="s">
        <v>317</v>
      </c>
      <c r="E43" s="15" t="s">
        <v>319</v>
      </c>
      <c r="F43" s="16" t="s">
        <v>22</v>
      </c>
      <c r="G43" s="12" t="s">
        <v>21</v>
      </c>
      <c r="H43" s="17" t="s">
        <v>322</v>
      </c>
      <c r="I43" s="18">
        <v>15</v>
      </c>
      <c r="J43" s="69"/>
    </row>
    <row r="44" spans="1:10" ht="27.6" customHeight="1" x14ac:dyDescent="0.3">
      <c r="A44" s="68"/>
      <c r="B44" s="59" t="s">
        <v>298</v>
      </c>
      <c r="C44" s="13" t="s">
        <v>71</v>
      </c>
      <c r="D44" s="14" t="s">
        <v>332</v>
      </c>
      <c r="E44" s="15" t="s">
        <v>290</v>
      </c>
      <c r="F44" s="16" t="s">
        <v>331</v>
      </c>
      <c r="G44" s="12" t="s">
        <v>290</v>
      </c>
      <c r="H44" s="17" t="s">
        <v>45</v>
      </c>
      <c r="I44" s="18">
        <v>6</v>
      </c>
      <c r="J44" s="69"/>
    </row>
    <row r="45" spans="1:10" ht="27.6" customHeight="1" x14ac:dyDescent="0.3">
      <c r="A45" s="63"/>
      <c r="B45" s="30" t="s">
        <v>142</v>
      </c>
      <c r="C45" s="13" t="s">
        <v>71</v>
      </c>
      <c r="D45" s="14" t="s">
        <v>333</v>
      </c>
      <c r="E45" s="15" t="s">
        <v>334</v>
      </c>
      <c r="F45" s="16" t="s">
        <v>336</v>
      </c>
      <c r="G45" s="12" t="s">
        <v>335</v>
      </c>
      <c r="H45" s="17" t="s">
        <v>45</v>
      </c>
      <c r="I45" s="18">
        <v>10</v>
      </c>
      <c r="J45" s="65"/>
    </row>
    <row r="46" spans="1:10" ht="29.4" customHeight="1" x14ac:dyDescent="0.3">
      <c r="A46" s="62">
        <v>46199</v>
      </c>
      <c r="B46" s="59" t="s">
        <v>337</v>
      </c>
      <c r="C46" s="13" t="s">
        <v>318</v>
      </c>
      <c r="D46" s="14" t="s">
        <v>317</v>
      </c>
      <c r="E46" s="15" t="s">
        <v>319</v>
      </c>
      <c r="F46" s="16" t="s">
        <v>22</v>
      </c>
      <c r="G46" s="12" t="s">
        <v>21</v>
      </c>
      <c r="H46" s="17" t="s">
        <v>323</v>
      </c>
      <c r="I46" s="18">
        <v>18</v>
      </c>
      <c r="J46" s="64" t="s">
        <v>42</v>
      </c>
    </row>
    <row r="47" spans="1:10" ht="29.4" customHeight="1" x14ac:dyDescent="0.3">
      <c r="A47" s="68"/>
      <c r="B47" s="38" t="s">
        <v>142</v>
      </c>
      <c r="C47" s="53" t="s">
        <v>71</v>
      </c>
      <c r="D47" s="41" t="s">
        <v>206</v>
      </c>
      <c r="E47" s="42" t="s">
        <v>118</v>
      </c>
      <c r="F47" s="41" t="s">
        <v>331</v>
      </c>
      <c r="G47" s="42" t="s">
        <v>118</v>
      </c>
      <c r="H47" s="43" t="s">
        <v>45</v>
      </c>
      <c r="I47" s="42">
        <v>9</v>
      </c>
      <c r="J47" s="69"/>
    </row>
    <row r="48" spans="1:10" ht="29.4" customHeight="1" x14ac:dyDescent="0.3">
      <c r="A48" s="63"/>
      <c r="B48" s="59" t="s">
        <v>211</v>
      </c>
      <c r="C48" s="13" t="s">
        <v>43</v>
      </c>
      <c r="D48" s="14" t="s">
        <v>346</v>
      </c>
      <c r="E48" s="15" t="s">
        <v>102</v>
      </c>
      <c r="F48" s="16" t="s">
        <v>338</v>
      </c>
      <c r="G48" s="12" t="s">
        <v>102</v>
      </c>
      <c r="H48" s="17" t="s">
        <v>45</v>
      </c>
      <c r="I48" s="18">
        <v>14</v>
      </c>
      <c r="J48" s="65"/>
    </row>
    <row r="49" spans="1:13" ht="28.2" customHeight="1" x14ac:dyDescent="0.3">
      <c r="A49" s="59">
        <v>46200</v>
      </c>
      <c r="B49" s="30"/>
      <c r="C49" s="13"/>
      <c r="D49" s="14"/>
      <c r="E49" s="15"/>
      <c r="F49" s="16"/>
      <c r="G49" s="12"/>
      <c r="H49" s="17"/>
      <c r="I49" s="18"/>
      <c r="J49" s="22" t="s">
        <v>46</v>
      </c>
    </row>
    <row r="50" spans="1:13" ht="28.2" customHeight="1" x14ac:dyDescent="0.3">
      <c r="A50" s="24"/>
      <c r="B50" s="24"/>
      <c r="C50" s="25"/>
      <c r="D50" s="26"/>
      <c r="E50" s="24"/>
      <c r="F50" s="26"/>
      <c r="G50" s="24"/>
      <c r="H50" s="24"/>
      <c r="I50" s="24"/>
      <c r="J50" s="24"/>
    </row>
    <row r="51" spans="1:13" ht="28.2" customHeight="1" x14ac:dyDescent="0.3">
      <c r="A51" s="59">
        <v>46202</v>
      </c>
      <c r="B51" s="30"/>
      <c r="C51" s="13"/>
      <c r="D51" s="14"/>
      <c r="E51" s="15"/>
      <c r="F51" s="16"/>
      <c r="G51" s="12"/>
      <c r="H51" s="17"/>
      <c r="I51" s="18"/>
      <c r="J51" s="22" t="s">
        <v>24</v>
      </c>
    </row>
    <row r="52" spans="1:13" ht="28.2" customHeight="1" x14ac:dyDescent="0.3">
      <c r="A52" s="59">
        <v>46203</v>
      </c>
      <c r="B52" s="59" t="s">
        <v>298</v>
      </c>
      <c r="C52" s="13" t="s">
        <v>71</v>
      </c>
      <c r="D52" s="37" t="s">
        <v>347</v>
      </c>
      <c r="E52" s="15" t="s">
        <v>102</v>
      </c>
      <c r="F52" s="16" t="s">
        <v>331</v>
      </c>
      <c r="G52" s="12" t="s">
        <v>102</v>
      </c>
      <c r="H52" s="17" t="s">
        <v>45</v>
      </c>
      <c r="I52" s="18">
        <v>8</v>
      </c>
      <c r="J52" s="22" t="s">
        <v>29</v>
      </c>
    </row>
    <row r="53" spans="1:13" x14ac:dyDescent="0.3">
      <c r="J53" s="2"/>
    </row>
    <row r="54" spans="1:13" x14ac:dyDescent="0.3">
      <c r="J54" s="2"/>
    </row>
    <row r="55" spans="1:13" x14ac:dyDescent="0.3">
      <c r="J55" s="2"/>
      <c r="L55" s="2"/>
      <c r="M55" s="1"/>
    </row>
    <row r="56" spans="1:13" x14ac:dyDescent="0.3">
      <c r="L56" s="2"/>
      <c r="M56" s="1"/>
    </row>
    <row r="57" spans="1:13" x14ac:dyDescent="0.3">
      <c r="L57" s="2"/>
      <c r="M57" s="1"/>
    </row>
  </sheetData>
  <mergeCells count="23">
    <mergeCell ref="A46:A48"/>
    <mergeCell ref="J46:J48"/>
    <mergeCell ref="A38:A39"/>
    <mergeCell ref="J38:J39"/>
    <mergeCell ref="A40:A45"/>
    <mergeCell ref="J40:J45"/>
    <mergeCell ref="A17:A19"/>
    <mergeCell ref="J17:J19"/>
    <mergeCell ref="A20:A23"/>
    <mergeCell ref="J20:J23"/>
    <mergeCell ref="J36:J37"/>
    <mergeCell ref="A36:A37"/>
    <mergeCell ref="A8:A9"/>
    <mergeCell ref="J8:J9"/>
    <mergeCell ref="A12:A13"/>
    <mergeCell ref="J12:J13"/>
    <mergeCell ref="J15:J16"/>
    <mergeCell ref="A15:A16"/>
    <mergeCell ref="A4:A5"/>
    <mergeCell ref="J4:J5"/>
    <mergeCell ref="A6:A7"/>
    <mergeCell ref="J6:J7"/>
    <mergeCell ref="A1:J1"/>
  </mergeCells>
  <phoneticPr fontId="7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09C2-193B-443D-AFC6-2A44069549B8}">
  <dimension ref="A1:P61"/>
  <sheetViews>
    <sheetView topLeftCell="B1" zoomScale="60" zoomScaleNormal="60" workbookViewId="0">
      <selection activeCell="P5" sqref="P5"/>
    </sheetView>
  </sheetViews>
  <sheetFormatPr defaultColWidth="9.109375" defaultRowHeight="15.6" x14ac:dyDescent="0.3"/>
  <cols>
    <col min="1" max="1" width="14.44140625" style="44" customWidth="1"/>
    <col min="2" max="2" width="24.44140625" style="45" customWidth="1"/>
    <col min="3" max="3" width="16.88671875" style="45" customWidth="1"/>
    <col min="4" max="4" width="59.6640625" style="45" customWidth="1"/>
    <col min="5" max="5" width="27.109375" style="45" customWidth="1"/>
    <col min="6" max="6" width="26.6640625" style="45" customWidth="1"/>
    <col min="7" max="7" width="25.109375" style="45" customWidth="1"/>
    <col min="8" max="8" width="16.6640625" style="45" customWidth="1"/>
    <col min="9" max="9" width="14.88671875" style="44" customWidth="1"/>
    <col min="10" max="10" width="17.6640625" style="44" customWidth="1"/>
    <col min="11" max="11" width="9.109375" style="1"/>
    <col min="12" max="12" width="9.33203125" style="1" bestFit="1" customWidth="1"/>
    <col min="13" max="13" width="53.5546875" style="2" customWidth="1"/>
    <col min="14" max="14" width="13.33203125" style="1" bestFit="1" customWidth="1"/>
    <col min="15" max="15" width="9.33203125" style="1" bestFit="1" customWidth="1"/>
    <col min="16" max="16" width="10.44140625" style="1" customWidth="1"/>
    <col min="17" max="16384" width="9.109375" style="1"/>
  </cols>
  <sheetData>
    <row r="1" spans="1:16" ht="41.4" customHeight="1" thickBot="1" x14ac:dyDescent="0.35">
      <c r="A1" s="66" t="s">
        <v>289</v>
      </c>
      <c r="B1" s="67"/>
      <c r="C1" s="67"/>
      <c r="D1" s="67"/>
      <c r="E1" s="67"/>
      <c r="F1" s="67"/>
      <c r="G1" s="67"/>
      <c r="H1" s="67"/>
      <c r="I1" s="67"/>
      <c r="J1" s="67"/>
    </row>
    <row r="2" spans="1:16" ht="50.4" customHeight="1" x14ac:dyDescent="0.3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4" t="s">
        <v>7</v>
      </c>
      <c r="I2" s="7" t="s">
        <v>8</v>
      </c>
      <c r="J2" s="8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</row>
    <row r="3" spans="1:16" ht="16.2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L3" s="9"/>
      <c r="M3" s="9"/>
      <c r="N3" s="9"/>
      <c r="O3" s="9"/>
      <c r="P3" s="9"/>
    </row>
    <row r="4" spans="1:16" ht="30" customHeight="1" x14ac:dyDescent="0.3">
      <c r="A4" s="46">
        <v>46143</v>
      </c>
      <c r="B4" s="30" t="s">
        <v>18</v>
      </c>
      <c r="C4" s="13" t="s">
        <v>121</v>
      </c>
      <c r="D4" s="14" t="s">
        <v>134</v>
      </c>
      <c r="E4" s="15" t="s">
        <v>247</v>
      </c>
      <c r="F4" s="16" t="s">
        <v>225</v>
      </c>
      <c r="G4" s="12" t="s">
        <v>248</v>
      </c>
      <c r="H4" s="17" t="s">
        <v>55</v>
      </c>
      <c r="I4" s="18">
        <v>14</v>
      </c>
      <c r="J4" s="22" t="s">
        <v>42</v>
      </c>
      <c r="L4" s="55">
        <v>1</v>
      </c>
      <c r="M4" s="14" t="s">
        <v>134</v>
      </c>
      <c r="N4" s="56">
        <v>2</v>
      </c>
      <c r="O4" s="19">
        <v>2</v>
      </c>
      <c r="P4" s="19">
        <f>N4-O4</f>
        <v>0</v>
      </c>
    </row>
    <row r="5" spans="1:16" ht="30" customHeight="1" x14ac:dyDescent="0.3">
      <c r="A5" s="70">
        <v>46144</v>
      </c>
      <c r="B5" s="30" t="s">
        <v>18</v>
      </c>
      <c r="C5" s="13" t="s">
        <v>155</v>
      </c>
      <c r="D5" s="14" t="s">
        <v>272</v>
      </c>
      <c r="E5" s="15" t="s">
        <v>264</v>
      </c>
      <c r="F5" s="12" t="s">
        <v>263</v>
      </c>
      <c r="G5" s="12" t="s">
        <v>264</v>
      </c>
      <c r="H5" s="17" t="s">
        <v>55</v>
      </c>
      <c r="I5" s="18">
        <v>23</v>
      </c>
      <c r="J5" s="64" t="s">
        <v>46</v>
      </c>
      <c r="L5" s="55">
        <v>2</v>
      </c>
      <c r="M5" s="14" t="s">
        <v>282</v>
      </c>
      <c r="N5" s="56">
        <v>1</v>
      </c>
      <c r="O5" s="19">
        <v>1</v>
      </c>
      <c r="P5" s="19">
        <f>N5-O5</f>
        <v>0</v>
      </c>
    </row>
    <row r="6" spans="1:16" ht="30" customHeight="1" x14ac:dyDescent="0.3">
      <c r="A6" s="71"/>
      <c r="B6" s="30" t="s">
        <v>51</v>
      </c>
      <c r="C6" s="31" t="s">
        <v>43</v>
      </c>
      <c r="D6" s="14" t="s">
        <v>213</v>
      </c>
      <c r="E6" s="32" t="s">
        <v>191</v>
      </c>
      <c r="F6" s="16" t="s">
        <v>216</v>
      </c>
      <c r="G6" s="12" t="s">
        <v>21</v>
      </c>
      <c r="H6" s="17" t="s">
        <v>45</v>
      </c>
      <c r="I6" s="18">
        <v>9</v>
      </c>
      <c r="J6" s="69"/>
      <c r="L6" s="55">
        <v>3</v>
      </c>
      <c r="M6" s="14" t="s">
        <v>276</v>
      </c>
      <c r="N6" s="56">
        <v>1</v>
      </c>
      <c r="O6" s="19">
        <v>1</v>
      </c>
      <c r="P6" s="19">
        <f t="shared" ref="P6:P7" si="0">N6-O6</f>
        <v>0</v>
      </c>
    </row>
    <row r="7" spans="1:16" ht="30" customHeight="1" x14ac:dyDescent="0.3">
      <c r="A7" s="71"/>
      <c r="B7" s="30" t="s">
        <v>142</v>
      </c>
      <c r="C7" s="31" t="s">
        <v>43</v>
      </c>
      <c r="D7" s="37" t="s">
        <v>212</v>
      </c>
      <c r="E7" s="32" t="s">
        <v>209</v>
      </c>
      <c r="F7" s="16" t="s">
        <v>210</v>
      </c>
      <c r="G7" s="12" t="s">
        <v>21</v>
      </c>
      <c r="H7" s="17" t="s">
        <v>45</v>
      </c>
      <c r="I7" s="18">
        <v>10</v>
      </c>
      <c r="J7" s="69"/>
      <c r="L7" s="55">
        <v>4</v>
      </c>
      <c r="M7" s="14" t="s">
        <v>213</v>
      </c>
      <c r="N7" s="56">
        <v>3</v>
      </c>
      <c r="O7" s="19">
        <v>3</v>
      </c>
      <c r="P7" s="19">
        <f t="shared" si="0"/>
        <v>0</v>
      </c>
    </row>
    <row r="8" spans="1:16" ht="30" customHeight="1" x14ac:dyDescent="0.3">
      <c r="A8" s="71"/>
      <c r="B8" s="30" t="s">
        <v>211</v>
      </c>
      <c r="C8" s="31" t="s">
        <v>43</v>
      </c>
      <c r="D8" s="14" t="s">
        <v>242</v>
      </c>
      <c r="E8" s="32" t="s">
        <v>191</v>
      </c>
      <c r="F8" s="16" t="s">
        <v>215</v>
      </c>
      <c r="G8" s="12" t="s">
        <v>21</v>
      </c>
      <c r="H8" s="17" t="s">
        <v>45</v>
      </c>
      <c r="I8" s="18">
        <v>10</v>
      </c>
      <c r="J8" s="69"/>
      <c r="L8" s="55">
        <v>5</v>
      </c>
      <c r="M8" s="14" t="s">
        <v>280</v>
      </c>
      <c r="N8" s="56">
        <v>4</v>
      </c>
      <c r="O8" s="19">
        <v>4</v>
      </c>
      <c r="P8" s="19">
        <f t="shared" ref="P8" si="1">N8-O8</f>
        <v>0</v>
      </c>
    </row>
    <row r="9" spans="1:16" ht="30" customHeight="1" x14ac:dyDescent="0.3">
      <c r="A9" s="71"/>
      <c r="B9" s="30" t="s">
        <v>98</v>
      </c>
      <c r="C9" s="31" t="s">
        <v>43</v>
      </c>
      <c r="D9" s="14" t="s">
        <v>214</v>
      </c>
      <c r="E9" s="32" t="s">
        <v>191</v>
      </c>
      <c r="F9" s="16" t="s">
        <v>201</v>
      </c>
      <c r="G9" s="12" t="s">
        <v>21</v>
      </c>
      <c r="H9" s="17" t="s">
        <v>45</v>
      </c>
      <c r="I9" s="18">
        <v>10</v>
      </c>
      <c r="J9" s="69"/>
      <c r="L9" s="55">
        <v>6</v>
      </c>
      <c r="M9" s="14" t="s">
        <v>242</v>
      </c>
      <c r="N9" s="56">
        <v>4</v>
      </c>
      <c r="O9" s="19">
        <v>4</v>
      </c>
      <c r="P9" s="19">
        <f t="shared" ref="P9:P24" si="2">N9-O9</f>
        <v>0</v>
      </c>
    </row>
    <row r="10" spans="1:16" ht="30" customHeight="1" x14ac:dyDescent="0.3">
      <c r="A10" s="72"/>
      <c r="B10" s="30" t="s">
        <v>18</v>
      </c>
      <c r="C10" s="31" t="s">
        <v>71</v>
      </c>
      <c r="D10" s="14" t="s">
        <v>270</v>
      </c>
      <c r="E10" s="15" t="s">
        <v>193</v>
      </c>
      <c r="F10" s="16" t="s">
        <v>230</v>
      </c>
      <c r="G10" s="12" t="s">
        <v>193</v>
      </c>
      <c r="H10" s="17" t="s">
        <v>45</v>
      </c>
      <c r="I10" s="18">
        <v>14</v>
      </c>
      <c r="J10" s="65"/>
      <c r="L10" s="55">
        <v>7</v>
      </c>
      <c r="M10" s="14" t="s">
        <v>214</v>
      </c>
      <c r="N10" s="56">
        <v>4</v>
      </c>
      <c r="O10" s="19">
        <v>4</v>
      </c>
      <c r="P10" s="19">
        <f t="shared" si="2"/>
        <v>0</v>
      </c>
    </row>
    <row r="11" spans="1:16" ht="30" customHeight="1" x14ac:dyDescent="0.3">
      <c r="A11" s="23"/>
      <c r="B11" s="24"/>
      <c r="C11" s="25"/>
      <c r="D11" s="26"/>
      <c r="E11" s="24"/>
      <c r="F11" s="26"/>
      <c r="G11" s="24"/>
      <c r="H11" s="24"/>
      <c r="I11" s="24"/>
      <c r="J11" s="27"/>
      <c r="L11" s="55">
        <v>8</v>
      </c>
      <c r="M11" s="14" t="s">
        <v>279</v>
      </c>
      <c r="N11" s="56">
        <v>2</v>
      </c>
      <c r="O11" s="19">
        <v>2</v>
      </c>
      <c r="P11" s="19">
        <f t="shared" si="2"/>
        <v>0</v>
      </c>
    </row>
    <row r="12" spans="1:16" ht="30" customHeight="1" x14ac:dyDescent="0.3">
      <c r="A12" s="46">
        <v>46146</v>
      </c>
      <c r="B12" s="30"/>
      <c r="C12" s="13"/>
      <c r="D12" s="14"/>
      <c r="E12" s="15"/>
      <c r="F12" s="16"/>
      <c r="G12" s="12"/>
      <c r="H12" s="17"/>
      <c r="I12" s="18"/>
      <c r="J12" s="22" t="s">
        <v>24</v>
      </c>
      <c r="L12" s="55">
        <v>9</v>
      </c>
      <c r="M12" s="14" t="s">
        <v>133</v>
      </c>
      <c r="N12" s="57">
        <v>1</v>
      </c>
      <c r="O12" s="21">
        <v>1</v>
      </c>
      <c r="P12" s="19">
        <f t="shared" si="2"/>
        <v>0</v>
      </c>
    </row>
    <row r="13" spans="1:16" ht="30" customHeight="1" x14ac:dyDescent="0.3">
      <c r="A13" s="70">
        <v>46147</v>
      </c>
      <c r="B13" s="30" t="s">
        <v>18</v>
      </c>
      <c r="C13" s="13" t="s">
        <v>121</v>
      </c>
      <c r="D13" s="14" t="s">
        <v>133</v>
      </c>
      <c r="E13" s="15" t="s">
        <v>21</v>
      </c>
      <c r="F13" s="16" t="s">
        <v>104</v>
      </c>
      <c r="G13" s="12" t="s">
        <v>21</v>
      </c>
      <c r="H13" s="17" t="s">
        <v>55</v>
      </c>
      <c r="I13" s="18">
        <v>18</v>
      </c>
      <c r="J13" s="64" t="s">
        <v>29</v>
      </c>
      <c r="L13" s="55">
        <v>10</v>
      </c>
      <c r="M13" s="14" t="s">
        <v>249</v>
      </c>
      <c r="N13" s="56">
        <v>1</v>
      </c>
      <c r="O13" s="19">
        <v>1</v>
      </c>
      <c r="P13" s="19">
        <f t="shared" si="2"/>
        <v>0</v>
      </c>
    </row>
    <row r="14" spans="1:16" ht="30" customHeight="1" x14ac:dyDescent="0.3">
      <c r="A14" s="72"/>
      <c r="B14" s="30" t="s">
        <v>218</v>
      </c>
      <c r="C14" s="13" t="s">
        <v>125</v>
      </c>
      <c r="D14" s="14" t="s">
        <v>249</v>
      </c>
      <c r="E14" s="15" t="s">
        <v>102</v>
      </c>
      <c r="F14" s="16" t="s">
        <v>74</v>
      </c>
      <c r="G14" s="12" t="s">
        <v>102</v>
      </c>
      <c r="H14" s="17" t="s">
        <v>23</v>
      </c>
      <c r="I14" s="18">
        <v>11</v>
      </c>
      <c r="J14" s="65"/>
      <c r="L14" s="55">
        <v>11</v>
      </c>
      <c r="M14" s="14" t="s">
        <v>250</v>
      </c>
      <c r="N14" s="56">
        <v>1</v>
      </c>
      <c r="O14" s="19">
        <v>1</v>
      </c>
      <c r="P14" s="19">
        <f t="shared" si="2"/>
        <v>0</v>
      </c>
    </row>
    <row r="15" spans="1:16" ht="30" customHeight="1" x14ac:dyDescent="0.3">
      <c r="A15" s="70">
        <v>46148</v>
      </c>
      <c r="B15" s="30" t="s">
        <v>218</v>
      </c>
      <c r="C15" s="13" t="s">
        <v>121</v>
      </c>
      <c r="D15" s="14" t="s">
        <v>250</v>
      </c>
      <c r="E15" s="15" t="s">
        <v>252</v>
      </c>
      <c r="F15" s="16" t="s">
        <v>171</v>
      </c>
      <c r="G15" s="12" t="s">
        <v>251</v>
      </c>
      <c r="H15" s="17" t="s">
        <v>55</v>
      </c>
      <c r="I15" s="18">
        <v>14</v>
      </c>
      <c r="J15" s="64" t="s">
        <v>39</v>
      </c>
      <c r="L15" s="55">
        <v>12</v>
      </c>
      <c r="M15" s="14" t="s">
        <v>253</v>
      </c>
      <c r="N15" s="56">
        <v>1</v>
      </c>
      <c r="O15" s="19">
        <v>1</v>
      </c>
      <c r="P15" s="19">
        <f t="shared" si="2"/>
        <v>0</v>
      </c>
    </row>
    <row r="16" spans="1:16" ht="30" customHeight="1" x14ac:dyDescent="0.3">
      <c r="A16" s="72"/>
      <c r="B16" s="30" t="s">
        <v>18</v>
      </c>
      <c r="C16" s="13" t="s">
        <v>125</v>
      </c>
      <c r="D16" s="14" t="s">
        <v>253</v>
      </c>
      <c r="E16" s="15" t="s">
        <v>102</v>
      </c>
      <c r="F16" s="16" t="s">
        <v>254</v>
      </c>
      <c r="G16" s="12" t="s">
        <v>102</v>
      </c>
      <c r="H16" s="17" t="s">
        <v>23</v>
      </c>
      <c r="I16" s="18">
        <v>16</v>
      </c>
      <c r="J16" s="65"/>
      <c r="L16" s="55">
        <v>13</v>
      </c>
      <c r="M16" s="14" t="s">
        <v>255</v>
      </c>
      <c r="N16" s="56">
        <v>3</v>
      </c>
      <c r="O16" s="19">
        <v>3</v>
      </c>
      <c r="P16" s="19">
        <f t="shared" si="2"/>
        <v>0</v>
      </c>
    </row>
    <row r="17" spans="1:16" ht="30" customHeight="1" x14ac:dyDescent="0.3">
      <c r="A17" s="46">
        <v>46149</v>
      </c>
      <c r="B17" s="30" t="s">
        <v>47</v>
      </c>
      <c r="C17" s="13" t="s">
        <v>155</v>
      </c>
      <c r="D17" s="14" t="s">
        <v>255</v>
      </c>
      <c r="E17" s="15" t="s">
        <v>203</v>
      </c>
      <c r="F17" s="16" t="s">
        <v>171</v>
      </c>
      <c r="G17" s="12" t="s">
        <v>203</v>
      </c>
      <c r="H17" s="17" t="s">
        <v>55</v>
      </c>
      <c r="I17" s="18">
        <v>12</v>
      </c>
      <c r="J17" s="22" t="s">
        <v>41</v>
      </c>
      <c r="L17" s="55">
        <v>14</v>
      </c>
      <c r="M17" s="58" t="s">
        <v>257</v>
      </c>
      <c r="N17" s="56">
        <v>2</v>
      </c>
      <c r="O17" s="19">
        <v>2</v>
      </c>
      <c r="P17" s="19">
        <f t="shared" si="2"/>
        <v>0</v>
      </c>
    </row>
    <row r="18" spans="1:16" ht="30" customHeight="1" x14ac:dyDescent="0.3">
      <c r="A18" s="46">
        <v>46150</v>
      </c>
      <c r="B18" s="30" t="s">
        <v>18</v>
      </c>
      <c r="C18" s="13" t="s">
        <v>121</v>
      </c>
      <c r="D18" s="14" t="s">
        <v>134</v>
      </c>
      <c r="E18" s="15" t="s">
        <v>256</v>
      </c>
      <c r="F18" s="16" t="s">
        <v>225</v>
      </c>
      <c r="G18" s="12" t="s">
        <v>248</v>
      </c>
      <c r="H18" s="17" t="s">
        <v>55</v>
      </c>
      <c r="I18" s="18">
        <v>14</v>
      </c>
      <c r="J18" s="22" t="s">
        <v>42</v>
      </c>
      <c r="L18" s="55">
        <v>15</v>
      </c>
      <c r="M18" s="58" t="s">
        <v>258</v>
      </c>
      <c r="N18" s="56">
        <v>1</v>
      </c>
      <c r="O18" s="19">
        <v>1</v>
      </c>
      <c r="P18" s="19">
        <f t="shared" si="2"/>
        <v>0</v>
      </c>
    </row>
    <row r="19" spans="1:16" ht="30" customHeight="1" x14ac:dyDescent="0.3">
      <c r="A19" s="46">
        <v>46151</v>
      </c>
      <c r="B19" s="30"/>
      <c r="C19" s="13"/>
      <c r="D19" s="14"/>
      <c r="E19" s="15"/>
      <c r="F19" s="16"/>
      <c r="G19" s="12"/>
      <c r="H19" s="17"/>
      <c r="I19" s="18"/>
      <c r="J19" s="22" t="s">
        <v>46</v>
      </c>
      <c r="L19" s="55">
        <v>16</v>
      </c>
      <c r="M19" s="14" t="s">
        <v>262</v>
      </c>
      <c r="N19" s="56">
        <v>1</v>
      </c>
      <c r="O19" s="19">
        <v>1</v>
      </c>
      <c r="P19" s="19">
        <f t="shared" si="2"/>
        <v>0</v>
      </c>
    </row>
    <row r="20" spans="1:16" ht="30" customHeight="1" x14ac:dyDescent="0.3">
      <c r="A20" s="23"/>
      <c r="B20" s="24"/>
      <c r="C20" s="25"/>
      <c r="D20" s="26"/>
      <c r="E20" s="24"/>
      <c r="F20" s="26"/>
      <c r="G20" s="24"/>
      <c r="H20" s="24"/>
      <c r="I20" s="24"/>
      <c r="J20" s="24"/>
      <c r="L20" s="55">
        <v>17</v>
      </c>
      <c r="M20" s="58" t="s">
        <v>288</v>
      </c>
      <c r="N20" s="56">
        <v>1</v>
      </c>
      <c r="O20" s="19">
        <v>1</v>
      </c>
      <c r="P20" s="19">
        <f t="shared" ref="P20" si="3">N20-O20</f>
        <v>0</v>
      </c>
    </row>
    <row r="21" spans="1:16" ht="30" customHeight="1" x14ac:dyDescent="0.3">
      <c r="A21" s="46">
        <v>46153</v>
      </c>
      <c r="B21" s="30"/>
      <c r="C21" s="13"/>
      <c r="D21" s="14"/>
      <c r="E21" s="15"/>
      <c r="F21" s="16"/>
      <c r="G21" s="12"/>
      <c r="H21" s="17"/>
      <c r="I21" s="18"/>
      <c r="J21" s="22" t="s">
        <v>24</v>
      </c>
      <c r="L21" s="55">
        <v>18</v>
      </c>
      <c r="M21" s="58" t="s">
        <v>287</v>
      </c>
      <c r="N21" s="56">
        <v>1</v>
      </c>
      <c r="O21" s="19">
        <v>1</v>
      </c>
      <c r="P21" s="19">
        <f t="shared" si="2"/>
        <v>0</v>
      </c>
    </row>
    <row r="22" spans="1:16" ht="30" customHeight="1" x14ac:dyDescent="0.3">
      <c r="A22" s="46">
        <v>46154</v>
      </c>
      <c r="B22" s="30"/>
      <c r="C22" s="13"/>
      <c r="D22" s="14"/>
      <c r="E22" s="15"/>
      <c r="F22" s="16"/>
      <c r="G22" s="12"/>
      <c r="H22" s="17"/>
      <c r="I22" s="18"/>
      <c r="J22" s="22" t="s">
        <v>29</v>
      </c>
      <c r="L22" s="55">
        <v>19</v>
      </c>
      <c r="M22" s="14" t="s">
        <v>15</v>
      </c>
      <c r="N22" s="57">
        <v>1</v>
      </c>
      <c r="O22" s="21">
        <v>1</v>
      </c>
      <c r="P22" s="19">
        <f t="shared" si="2"/>
        <v>0</v>
      </c>
    </row>
    <row r="23" spans="1:16" ht="30" customHeight="1" x14ac:dyDescent="0.3">
      <c r="A23" s="33">
        <v>46155</v>
      </c>
      <c r="B23" s="30" t="s">
        <v>51</v>
      </c>
      <c r="C23" s="13" t="s">
        <v>155</v>
      </c>
      <c r="D23" s="14" t="s">
        <v>257</v>
      </c>
      <c r="E23" s="15" t="s">
        <v>252</v>
      </c>
      <c r="F23" s="16" t="s">
        <v>171</v>
      </c>
      <c r="G23" s="12" t="s">
        <v>251</v>
      </c>
      <c r="H23" s="17" t="s">
        <v>55</v>
      </c>
      <c r="I23" s="18">
        <v>9</v>
      </c>
      <c r="J23" s="52" t="s">
        <v>39</v>
      </c>
      <c r="L23" s="55">
        <v>20</v>
      </c>
      <c r="M23" s="14" t="s">
        <v>269</v>
      </c>
      <c r="N23" s="56">
        <v>1</v>
      </c>
      <c r="O23" s="19">
        <v>1</v>
      </c>
      <c r="P23" s="19">
        <f t="shared" si="2"/>
        <v>0</v>
      </c>
    </row>
    <row r="24" spans="1:16" ht="30" customHeight="1" x14ac:dyDescent="0.3">
      <c r="A24" s="70">
        <v>46156</v>
      </c>
      <c r="B24" s="30" t="s">
        <v>18</v>
      </c>
      <c r="C24" s="13" t="s">
        <v>261</v>
      </c>
      <c r="D24" s="14" t="s">
        <v>258</v>
      </c>
      <c r="E24" s="15" t="s">
        <v>260</v>
      </c>
      <c r="F24" s="16" t="s">
        <v>259</v>
      </c>
      <c r="G24" s="12" t="s">
        <v>260</v>
      </c>
      <c r="H24" s="17" t="s">
        <v>139</v>
      </c>
      <c r="I24" s="18">
        <v>50</v>
      </c>
      <c r="J24" s="64" t="s">
        <v>41</v>
      </c>
      <c r="L24" s="55">
        <v>21</v>
      </c>
      <c r="M24" s="58" t="s">
        <v>268</v>
      </c>
      <c r="N24" s="56">
        <v>1</v>
      </c>
      <c r="O24" s="19">
        <v>1</v>
      </c>
      <c r="P24" s="19">
        <f t="shared" si="2"/>
        <v>0</v>
      </c>
    </row>
    <row r="25" spans="1:16" ht="30" customHeight="1" x14ac:dyDescent="0.3">
      <c r="A25" s="72"/>
      <c r="B25" s="30" t="s">
        <v>47</v>
      </c>
      <c r="C25" s="13" t="s">
        <v>155</v>
      </c>
      <c r="D25" s="14" t="s">
        <v>255</v>
      </c>
      <c r="E25" s="15" t="s">
        <v>203</v>
      </c>
      <c r="F25" s="16" t="s">
        <v>171</v>
      </c>
      <c r="G25" s="12" t="s">
        <v>203</v>
      </c>
      <c r="H25" s="17" t="s">
        <v>55</v>
      </c>
      <c r="I25" s="18">
        <v>12</v>
      </c>
      <c r="J25" s="65"/>
      <c r="N25" s="1">
        <f>SUM(N4:N24)</f>
        <v>37</v>
      </c>
      <c r="O25" s="1">
        <f>SUM(O4:O24)</f>
        <v>37</v>
      </c>
      <c r="P25" s="1">
        <f>SUM(P4:P24)</f>
        <v>0</v>
      </c>
    </row>
    <row r="26" spans="1:16" ht="30" customHeight="1" x14ac:dyDescent="0.3">
      <c r="A26" s="46">
        <v>46157</v>
      </c>
      <c r="B26" s="30"/>
      <c r="C26" s="13"/>
      <c r="D26" s="14"/>
      <c r="E26" s="15"/>
      <c r="F26" s="16"/>
      <c r="G26" s="12"/>
      <c r="H26" s="17"/>
      <c r="I26" s="18"/>
      <c r="J26" s="22" t="s">
        <v>42</v>
      </c>
    </row>
    <row r="27" spans="1:16" ht="30" customHeight="1" x14ac:dyDescent="0.3">
      <c r="A27" s="70">
        <v>46158</v>
      </c>
      <c r="B27" s="30" t="s">
        <v>142</v>
      </c>
      <c r="C27" s="31" t="s">
        <v>43</v>
      </c>
      <c r="D27" s="37" t="s">
        <v>212</v>
      </c>
      <c r="E27" s="32" t="s">
        <v>209</v>
      </c>
      <c r="F27" s="16" t="s">
        <v>210</v>
      </c>
      <c r="G27" s="12" t="s">
        <v>21</v>
      </c>
      <c r="H27" s="17" t="s">
        <v>45</v>
      </c>
      <c r="I27" s="18">
        <v>10</v>
      </c>
      <c r="J27" s="64" t="s">
        <v>46</v>
      </c>
    </row>
    <row r="28" spans="1:16" ht="30" customHeight="1" x14ac:dyDescent="0.3">
      <c r="A28" s="71"/>
      <c r="B28" s="30" t="s">
        <v>51</v>
      </c>
      <c r="C28" s="31" t="s">
        <v>43</v>
      </c>
      <c r="D28" s="14" t="s">
        <v>213</v>
      </c>
      <c r="E28" s="32" t="s">
        <v>191</v>
      </c>
      <c r="F28" s="16" t="s">
        <v>216</v>
      </c>
      <c r="G28" s="12" t="s">
        <v>21</v>
      </c>
      <c r="H28" s="17" t="s">
        <v>45</v>
      </c>
      <c r="I28" s="18">
        <v>9</v>
      </c>
      <c r="J28" s="69"/>
    </row>
    <row r="29" spans="1:16" ht="30" customHeight="1" x14ac:dyDescent="0.3">
      <c r="A29" s="71"/>
      <c r="B29" s="30" t="s">
        <v>211</v>
      </c>
      <c r="C29" s="31" t="s">
        <v>43</v>
      </c>
      <c r="D29" s="14" t="s">
        <v>242</v>
      </c>
      <c r="E29" s="32" t="s">
        <v>191</v>
      </c>
      <c r="F29" s="16" t="s">
        <v>215</v>
      </c>
      <c r="G29" s="12" t="s">
        <v>21</v>
      </c>
      <c r="H29" s="17" t="s">
        <v>45</v>
      </c>
      <c r="I29" s="18">
        <v>10</v>
      </c>
      <c r="J29" s="69"/>
    </row>
    <row r="30" spans="1:16" ht="30" customHeight="1" x14ac:dyDescent="0.3">
      <c r="A30" s="71"/>
      <c r="B30" s="30" t="s">
        <v>98</v>
      </c>
      <c r="C30" s="31" t="s">
        <v>43</v>
      </c>
      <c r="D30" s="14" t="s">
        <v>214</v>
      </c>
      <c r="E30" s="32" t="s">
        <v>191</v>
      </c>
      <c r="F30" s="16" t="s">
        <v>201</v>
      </c>
      <c r="G30" s="12" t="s">
        <v>21</v>
      </c>
      <c r="H30" s="17" t="s">
        <v>45</v>
      </c>
      <c r="I30" s="18">
        <v>10</v>
      </c>
      <c r="J30" s="69"/>
    </row>
    <row r="31" spans="1:16" ht="30" customHeight="1" x14ac:dyDescent="0.3">
      <c r="A31" s="72"/>
      <c r="B31" s="30" t="s">
        <v>18</v>
      </c>
      <c r="C31" s="31" t="s">
        <v>71</v>
      </c>
      <c r="D31" s="14" t="s">
        <v>271</v>
      </c>
      <c r="E31" s="15" t="s">
        <v>193</v>
      </c>
      <c r="F31" s="16" t="s">
        <v>230</v>
      </c>
      <c r="G31" s="12" t="s">
        <v>193</v>
      </c>
      <c r="H31" s="17" t="s">
        <v>45</v>
      </c>
      <c r="I31" s="18">
        <v>14</v>
      </c>
      <c r="J31" s="69"/>
    </row>
    <row r="32" spans="1:16" ht="30" customHeight="1" x14ac:dyDescent="0.3">
      <c r="A32" s="23"/>
      <c r="B32" s="24"/>
      <c r="C32" s="25"/>
      <c r="D32" s="26"/>
      <c r="E32" s="24"/>
      <c r="F32" s="26"/>
      <c r="G32" s="24"/>
      <c r="H32" s="24"/>
      <c r="I32" s="24"/>
      <c r="J32" s="24"/>
    </row>
    <row r="33" spans="1:10" ht="30" customHeight="1" x14ac:dyDescent="0.3">
      <c r="A33" s="46">
        <v>46160</v>
      </c>
      <c r="B33" s="30"/>
      <c r="C33" s="13"/>
      <c r="D33" s="14"/>
      <c r="E33" s="15"/>
      <c r="F33" s="16"/>
      <c r="G33" s="12"/>
      <c r="H33" s="17"/>
      <c r="I33" s="18"/>
      <c r="J33" s="22" t="s">
        <v>24</v>
      </c>
    </row>
    <row r="34" spans="1:10" ht="39" customHeight="1" x14ac:dyDescent="0.3">
      <c r="A34" s="46">
        <v>46161</v>
      </c>
      <c r="B34" s="30" t="s">
        <v>281</v>
      </c>
      <c r="C34" s="13" t="s">
        <v>155</v>
      </c>
      <c r="D34" s="14" t="s">
        <v>282</v>
      </c>
      <c r="E34" s="15" t="s">
        <v>248</v>
      </c>
      <c r="F34" s="12" t="s">
        <v>230</v>
      </c>
      <c r="G34" s="12" t="s">
        <v>248</v>
      </c>
      <c r="H34" s="17" t="s">
        <v>55</v>
      </c>
      <c r="I34" s="18">
        <v>25</v>
      </c>
      <c r="J34" s="22" t="s">
        <v>29</v>
      </c>
    </row>
    <row r="35" spans="1:10" ht="30" customHeight="1" x14ac:dyDescent="0.3">
      <c r="A35" s="70">
        <v>46162</v>
      </c>
      <c r="B35" s="30" t="s">
        <v>18</v>
      </c>
      <c r="C35" s="13" t="s">
        <v>155</v>
      </c>
      <c r="D35" s="14" t="s">
        <v>272</v>
      </c>
      <c r="E35" s="15" t="s">
        <v>264</v>
      </c>
      <c r="F35" s="12" t="s">
        <v>263</v>
      </c>
      <c r="G35" s="12" t="s">
        <v>264</v>
      </c>
      <c r="H35" s="17" t="s">
        <v>55</v>
      </c>
      <c r="I35" s="18">
        <v>25</v>
      </c>
      <c r="J35" s="64" t="s">
        <v>39</v>
      </c>
    </row>
    <row r="36" spans="1:10" ht="30" customHeight="1" x14ac:dyDescent="0.3">
      <c r="A36" s="71"/>
      <c r="B36" s="30" t="s">
        <v>51</v>
      </c>
      <c r="C36" s="13" t="s">
        <v>155</v>
      </c>
      <c r="D36" s="14" t="s">
        <v>257</v>
      </c>
      <c r="E36" s="15" t="s">
        <v>252</v>
      </c>
      <c r="F36" s="16" t="s">
        <v>171</v>
      </c>
      <c r="G36" s="12" t="s">
        <v>251</v>
      </c>
      <c r="H36" s="17" t="s">
        <v>265</v>
      </c>
      <c r="I36" s="18">
        <v>9</v>
      </c>
      <c r="J36" s="69"/>
    </row>
    <row r="37" spans="1:10" ht="30" customHeight="1" x14ac:dyDescent="0.3">
      <c r="A37" s="71"/>
      <c r="B37" s="30" t="s">
        <v>142</v>
      </c>
      <c r="C37" s="13" t="s">
        <v>285</v>
      </c>
      <c r="D37" s="14" t="s">
        <v>283</v>
      </c>
      <c r="E37" s="15" t="s">
        <v>57</v>
      </c>
      <c r="F37" s="16" t="s">
        <v>230</v>
      </c>
      <c r="G37" s="12" t="s">
        <v>57</v>
      </c>
      <c r="H37" s="17" t="s">
        <v>55</v>
      </c>
      <c r="I37" s="18">
        <v>12</v>
      </c>
      <c r="J37" s="69"/>
    </row>
    <row r="38" spans="1:10" ht="30" customHeight="1" x14ac:dyDescent="0.3">
      <c r="A38" s="72"/>
      <c r="B38" s="30" t="s">
        <v>142</v>
      </c>
      <c r="C38" s="13" t="s">
        <v>286</v>
      </c>
      <c r="D38" s="14" t="s">
        <v>284</v>
      </c>
      <c r="E38" s="15" t="s">
        <v>57</v>
      </c>
      <c r="F38" s="16" t="s">
        <v>230</v>
      </c>
      <c r="G38" s="12" t="s">
        <v>57</v>
      </c>
      <c r="H38" s="17" t="s">
        <v>55</v>
      </c>
      <c r="I38" s="18">
        <v>12</v>
      </c>
      <c r="J38" s="65"/>
    </row>
    <row r="39" spans="1:10" ht="30" customHeight="1" x14ac:dyDescent="0.3">
      <c r="A39" s="46">
        <v>46163</v>
      </c>
      <c r="B39" s="30" t="s">
        <v>47</v>
      </c>
      <c r="C39" s="13" t="s">
        <v>155</v>
      </c>
      <c r="D39" s="14" t="s">
        <v>255</v>
      </c>
      <c r="E39" s="15" t="s">
        <v>203</v>
      </c>
      <c r="F39" s="16" t="s">
        <v>171</v>
      </c>
      <c r="G39" s="12" t="s">
        <v>203</v>
      </c>
      <c r="H39" s="17" t="s">
        <v>55</v>
      </c>
      <c r="I39" s="18">
        <v>12</v>
      </c>
      <c r="J39" s="22" t="s">
        <v>41</v>
      </c>
    </row>
    <row r="40" spans="1:10" ht="30" customHeight="1" x14ac:dyDescent="0.3">
      <c r="A40" s="46">
        <v>46164</v>
      </c>
      <c r="B40" s="30"/>
      <c r="C40" s="13"/>
      <c r="D40" s="14"/>
      <c r="E40" s="15"/>
      <c r="F40" s="16"/>
      <c r="G40" s="12"/>
      <c r="H40" s="17"/>
      <c r="I40" s="18"/>
      <c r="J40" s="22" t="s">
        <v>42</v>
      </c>
    </row>
    <row r="41" spans="1:10" ht="30" customHeight="1" x14ac:dyDescent="0.3">
      <c r="A41" s="70">
        <v>46165</v>
      </c>
      <c r="B41" s="30" t="s">
        <v>51</v>
      </c>
      <c r="C41" s="13" t="s">
        <v>275</v>
      </c>
      <c r="D41" s="14" t="s">
        <v>276</v>
      </c>
      <c r="E41" s="15" t="s">
        <v>277</v>
      </c>
      <c r="F41" s="16" t="s">
        <v>278</v>
      </c>
      <c r="G41" s="12" t="s">
        <v>21</v>
      </c>
      <c r="H41" s="17" t="s">
        <v>265</v>
      </c>
      <c r="I41" s="18">
        <v>8</v>
      </c>
      <c r="J41" s="64" t="s">
        <v>46</v>
      </c>
    </row>
    <row r="42" spans="1:10" ht="30" customHeight="1" x14ac:dyDescent="0.3">
      <c r="A42" s="71"/>
      <c r="B42" s="30" t="s">
        <v>142</v>
      </c>
      <c r="C42" s="31" t="s">
        <v>43</v>
      </c>
      <c r="D42" s="37" t="s">
        <v>212</v>
      </c>
      <c r="E42" s="32" t="s">
        <v>209</v>
      </c>
      <c r="F42" s="16" t="s">
        <v>210</v>
      </c>
      <c r="G42" s="12" t="s">
        <v>21</v>
      </c>
      <c r="H42" s="17" t="s">
        <v>45</v>
      </c>
      <c r="I42" s="18">
        <v>10</v>
      </c>
      <c r="J42" s="69"/>
    </row>
    <row r="43" spans="1:10" ht="30" customHeight="1" x14ac:dyDescent="0.3">
      <c r="A43" s="71"/>
      <c r="B43" s="30" t="s">
        <v>51</v>
      </c>
      <c r="C43" s="31" t="s">
        <v>43</v>
      </c>
      <c r="D43" s="14" t="s">
        <v>213</v>
      </c>
      <c r="E43" s="32" t="s">
        <v>191</v>
      </c>
      <c r="F43" s="16" t="s">
        <v>216</v>
      </c>
      <c r="G43" s="12" t="s">
        <v>21</v>
      </c>
      <c r="H43" s="17" t="s">
        <v>45</v>
      </c>
      <c r="I43" s="18">
        <v>9</v>
      </c>
      <c r="J43" s="69"/>
    </row>
    <row r="44" spans="1:10" ht="30" customHeight="1" x14ac:dyDescent="0.3">
      <c r="A44" s="71"/>
      <c r="B44" s="30" t="s">
        <v>211</v>
      </c>
      <c r="C44" s="31" t="s">
        <v>43</v>
      </c>
      <c r="D44" s="14" t="s">
        <v>242</v>
      </c>
      <c r="E44" s="32" t="s">
        <v>191</v>
      </c>
      <c r="F44" s="16" t="s">
        <v>215</v>
      </c>
      <c r="G44" s="12" t="s">
        <v>21</v>
      </c>
      <c r="H44" s="17" t="s">
        <v>45</v>
      </c>
      <c r="I44" s="18">
        <v>10</v>
      </c>
      <c r="J44" s="69"/>
    </row>
    <row r="45" spans="1:10" ht="30" customHeight="1" x14ac:dyDescent="0.3">
      <c r="A45" s="71"/>
      <c r="B45" s="30" t="s">
        <v>98</v>
      </c>
      <c r="C45" s="31" t="s">
        <v>43</v>
      </c>
      <c r="D45" s="14" t="s">
        <v>214</v>
      </c>
      <c r="E45" s="32" t="s">
        <v>191</v>
      </c>
      <c r="F45" s="16" t="s">
        <v>201</v>
      </c>
      <c r="G45" s="12" t="s">
        <v>21</v>
      </c>
      <c r="H45" s="17" t="s">
        <v>45</v>
      </c>
      <c r="I45" s="18">
        <v>10</v>
      </c>
      <c r="J45" s="69"/>
    </row>
    <row r="46" spans="1:10" ht="30" customHeight="1" x14ac:dyDescent="0.3">
      <c r="A46" s="72"/>
      <c r="B46" s="30" t="s">
        <v>18</v>
      </c>
      <c r="C46" s="31" t="s">
        <v>71</v>
      </c>
      <c r="D46" s="14" t="s">
        <v>15</v>
      </c>
      <c r="E46" s="15" t="s">
        <v>193</v>
      </c>
      <c r="F46" s="16" t="s">
        <v>230</v>
      </c>
      <c r="G46" s="12" t="s">
        <v>193</v>
      </c>
      <c r="H46" s="17" t="s">
        <v>45</v>
      </c>
      <c r="I46" s="18">
        <v>14</v>
      </c>
      <c r="J46" s="65"/>
    </row>
    <row r="47" spans="1:10" ht="30" customHeight="1" x14ac:dyDescent="0.3">
      <c r="A47" s="23"/>
      <c r="B47" s="24"/>
      <c r="C47" s="25"/>
      <c r="D47" s="26"/>
      <c r="E47" s="24"/>
      <c r="F47" s="26"/>
      <c r="G47" s="24"/>
      <c r="H47" s="24"/>
      <c r="I47" s="24"/>
      <c r="J47" s="24"/>
    </row>
    <row r="48" spans="1:10" ht="30" customHeight="1" x14ac:dyDescent="0.3">
      <c r="A48" s="46">
        <v>46167</v>
      </c>
      <c r="B48" s="30"/>
      <c r="C48" s="13"/>
      <c r="D48" s="14"/>
      <c r="E48" s="15"/>
      <c r="F48" s="16"/>
      <c r="G48" s="12"/>
      <c r="H48" s="17"/>
      <c r="I48" s="18"/>
      <c r="J48" s="22" t="s">
        <v>24</v>
      </c>
    </row>
    <row r="49" spans="1:13" ht="30" customHeight="1" x14ac:dyDescent="0.3">
      <c r="A49" s="46">
        <v>46168</v>
      </c>
      <c r="B49" s="30"/>
      <c r="C49" s="13"/>
      <c r="D49" s="14"/>
      <c r="E49" s="15"/>
      <c r="F49" s="16"/>
      <c r="G49" s="12"/>
      <c r="H49" s="17"/>
      <c r="I49" s="18"/>
      <c r="J49" s="22" t="s">
        <v>29</v>
      </c>
    </row>
    <row r="50" spans="1:13" ht="30" customHeight="1" x14ac:dyDescent="0.3">
      <c r="A50" s="46">
        <v>46169</v>
      </c>
      <c r="B50" s="73" t="s">
        <v>274</v>
      </c>
      <c r="C50" s="74"/>
      <c r="D50" s="74"/>
      <c r="E50" s="74"/>
      <c r="F50" s="74"/>
      <c r="G50" s="74"/>
      <c r="H50" s="74"/>
      <c r="I50" s="18"/>
      <c r="J50" s="22" t="s">
        <v>39</v>
      </c>
    </row>
    <row r="51" spans="1:13" ht="30" customHeight="1" x14ac:dyDescent="0.3">
      <c r="A51" s="46">
        <v>46170</v>
      </c>
      <c r="B51" s="30"/>
      <c r="C51" s="13"/>
      <c r="D51" s="14"/>
      <c r="E51" s="15"/>
      <c r="F51" s="16"/>
      <c r="G51" s="12"/>
      <c r="H51" s="17"/>
      <c r="I51" s="18"/>
      <c r="J51" s="22" t="s">
        <v>41</v>
      </c>
    </row>
    <row r="52" spans="1:13" ht="30" customHeight="1" x14ac:dyDescent="0.3">
      <c r="A52" s="46">
        <v>46171</v>
      </c>
      <c r="B52" s="30" t="s">
        <v>267</v>
      </c>
      <c r="C52" s="13" t="s">
        <v>43</v>
      </c>
      <c r="D52" s="14" t="s">
        <v>273</v>
      </c>
      <c r="E52" s="15" t="s">
        <v>118</v>
      </c>
      <c r="F52" s="16" t="s">
        <v>266</v>
      </c>
      <c r="G52" s="12" t="s">
        <v>118</v>
      </c>
      <c r="H52" s="17" t="s">
        <v>45</v>
      </c>
      <c r="I52" s="18">
        <v>8</v>
      </c>
      <c r="J52" s="22" t="s">
        <v>42</v>
      </c>
    </row>
    <row r="53" spans="1:13" ht="30" customHeight="1" x14ac:dyDescent="0.3">
      <c r="A53" s="70">
        <v>46172</v>
      </c>
      <c r="B53" s="30" t="s">
        <v>211</v>
      </c>
      <c r="C53" s="31" t="s">
        <v>43</v>
      </c>
      <c r="D53" s="14" t="s">
        <v>242</v>
      </c>
      <c r="E53" s="32" t="s">
        <v>191</v>
      </c>
      <c r="F53" s="16" t="s">
        <v>215</v>
      </c>
      <c r="G53" s="12" t="s">
        <v>21</v>
      </c>
      <c r="H53" s="17" t="s">
        <v>45</v>
      </c>
      <c r="I53" s="18">
        <v>10</v>
      </c>
      <c r="J53" s="69" t="s">
        <v>46</v>
      </c>
    </row>
    <row r="54" spans="1:13" ht="30" customHeight="1" x14ac:dyDescent="0.3">
      <c r="A54" s="71"/>
      <c r="B54" s="30" t="s">
        <v>98</v>
      </c>
      <c r="C54" s="31" t="s">
        <v>43</v>
      </c>
      <c r="D54" s="14" t="s">
        <v>214</v>
      </c>
      <c r="E54" s="32" t="s">
        <v>191</v>
      </c>
      <c r="F54" s="16" t="s">
        <v>201</v>
      </c>
      <c r="G54" s="12" t="s">
        <v>21</v>
      </c>
      <c r="H54" s="17" t="s">
        <v>45</v>
      </c>
      <c r="I54" s="18">
        <v>10</v>
      </c>
      <c r="J54" s="69"/>
    </row>
    <row r="55" spans="1:13" ht="30" customHeight="1" x14ac:dyDescent="0.3">
      <c r="A55" s="72"/>
      <c r="B55" s="30" t="s">
        <v>142</v>
      </c>
      <c r="C55" s="31" t="s">
        <v>43</v>
      </c>
      <c r="D55" s="37" t="s">
        <v>212</v>
      </c>
      <c r="E55" s="32" t="s">
        <v>209</v>
      </c>
      <c r="F55" s="16" t="s">
        <v>210</v>
      </c>
      <c r="G55" s="12" t="s">
        <v>21</v>
      </c>
      <c r="H55" s="17" t="s">
        <v>45</v>
      </c>
      <c r="I55" s="18">
        <v>10</v>
      </c>
      <c r="J55" s="65"/>
    </row>
    <row r="56" spans="1:13" ht="30" customHeight="1" x14ac:dyDescent="0.3">
      <c r="A56" s="23"/>
      <c r="B56" s="24"/>
      <c r="C56" s="25"/>
      <c r="D56" s="26"/>
      <c r="E56" s="24"/>
      <c r="F56" s="26"/>
      <c r="G56" s="24"/>
      <c r="H56" s="24"/>
      <c r="I56" s="24"/>
      <c r="J56" s="24"/>
    </row>
    <row r="57" spans="1:13" x14ac:dyDescent="0.3">
      <c r="J57" s="1"/>
    </row>
    <row r="58" spans="1:13" x14ac:dyDescent="0.3">
      <c r="J58" s="1"/>
    </row>
    <row r="59" spans="1:13" x14ac:dyDescent="0.3">
      <c r="J59" s="1"/>
      <c r="L59" s="2"/>
      <c r="M59" s="1"/>
    </row>
    <row r="60" spans="1:13" x14ac:dyDescent="0.3">
      <c r="L60" s="2"/>
      <c r="M60" s="1"/>
    </row>
    <row r="61" spans="1:13" x14ac:dyDescent="0.3">
      <c r="L61" s="2"/>
      <c r="M61" s="1"/>
    </row>
  </sheetData>
  <autoFilter ref="B2:J56" xr:uid="{291109C2-193B-443D-AFC6-2A44069549B8}"/>
  <mergeCells count="18">
    <mergeCell ref="A1:J1"/>
    <mergeCell ref="A24:A25"/>
    <mergeCell ref="J24:J25"/>
    <mergeCell ref="A27:A31"/>
    <mergeCell ref="J27:J31"/>
    <mergeCell ref="A5:A10"/>
    <mergeCell ref="J5:J10"/>
    <mergeCell ref="A13:A14"/>
    <mergeCell ref="J13:J14"/>
    <mergeCell ref="A15:A16"/>
    <mergeCell ref="J15:J16"/>
    <mergeCell ref="J53:J55"/>
    <mergeCell ref="A53:A55"/>
    <mergeCell ref="A35:A38"/>
    <mergeCell ref="J35:J38"/>
    <mergeCell ref="B50:H50"/>
    <mergeCell ref="A41:A46"/>
    <mergeCell ref="J41:J46"/>
  </mergeCells>
  <phoneticPr fontId="7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34AD-7330-465B-ACE5-3CA1FE1BCAF4}">
  <dimension ref="A1:P66"/>
  <sheetViews>
    <sheetView topLeftCell="A4" zoomScale="60" zoomScaleNormal="60" workbookViewId="0">
      <selection activeCell="D32" sqref="D32"/>
    </sheetView>
  </sheetViews>
  <sheetFormatPr defaultColWidth="9.109375" defaultRowHeight="15.6" x14ac:dyDescent="0.3"/>
  <cols>
    <col min="1" max="1" width="14.44140625" style="44" customWidth="1"/>
    <col min="2" max="2" width="24.44140625" style="45" customWidth="1"/>
    <col min="3" max="3" width="16.88671875" style="45" customWidth="1"/>
    <col min="4" max="4" width="60.44140625" style="45" customWidth="1"/>
    <col min="5" max="5" width="27.109375" style="45" customWidth="1"/>
    <col min="6" max="6" width="26.6640625" style="45" customWidth="1"/>
    <col min="7" max="7" width="25.109375" style="45" customWidth="1"/>
    <col min="8" max="8" width="16.6640625" style="45" customWidth="1"/>
    <col min="9" max="9" width="14.88671875" style="44" customWidth="1"/>
    <col min="10" max="10" width="17.6640625" style="44" customWidth="1"/>
    <col min="11" max="11" width="9.109375" style="1"/>
    <col min="12" max="12" width="9.33203125" style="1" bestFit="1" customWidth="1"/>
    <col min="13" max="13" width="53.5546875" style="2" customWidth="1"/>
    <col min="14" max="14" width="13.33203125" style="1" bestFit="1" customWidth="1"/>
    <col min="15" max="15" width="9.33203125" style="1" bestFit="1" customWidth="1"/>
    <col min="16" max="16" width="10.44140625" style="1" customWidth="1"/>
    <col min="17" max="16384" width="9.109375" style="1"/>
  </cols>
  <sheetData>
    <row r="1" spans="1:16" ht="41.4" customHeight="1" thickBot="1" x14ac:dyDescent="0.35">
      <c r="A1" s="66" t="s">
        <v>169</v>
      </c>
      <c r="B1" s="67"/>
      <c r="C1" s="67"/>
      <c r="D1" s="67"/>
      <c r="E1" s="67"/>
      <c r="F1" s="67"/>
      <c r="G1" s="67"/>
      <c r="H1" s="67"/>
      <c r="I1" s="67"/>
      <c r="J1" s="67"/>
    </row>
    <row r="2" spans="1:16" ht="50.4" customHeight="1" x14ac:dyDescent="0.3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4" t="s">
        <v>7</v>
      </c>
      <c r="I2" s="7" t="s">
        <v>8</v>
      </c>
      <c r="J2" s="8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</row>
    <row r="3" spans="1:16" ht="16.2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L3" s="9"/>
      <c r="M3" s="9"/>
      <c r="N3" s="9"/>
      <c r="O3" s="9"/>
      <c r="P3" s="9"/>
    </row>
    <row r="4" spans="1:16" ht="30" customHeight="1" x14ac:dyDescent="0.3">
      <c r="A4" s="46">
        <v>46113</v>
      </c>
      <c r="B4" s="30" t="s">
        <v>47</v>
      </c>
      <c r="C4" s="13" t="s">
        <v>121</v>
      </c>
      <c r="D4" s="14" t="s">
        <v>134</v>
      </c>
      <c r="E4" s="15" t="s">
        <v>170</v>
      </c>
      <c r="F4" s="16" t="s">
        <v>171</v>
      </c>
      <c r="G4" s="12" t="s">
        <v>170</v>
      </c>
      <c r="H4" s="17" t="s">
        <v>55</v>
      </c>
      <c r="I4" s="18">
        <v>6</v>
      </c>
      <c r="J4" s="22" t="s">
        <v>39</v>
      </c>
      <c r="L4" s="55">
        <v>1</v>
      </c>
      <c r="M4" s="14" t="s">
        <v>134</v>
      </c>
      <c r="N4" s="56">
        <v>7</v>
      </c>
      <c r="O4" s="19">
        <v>7</v>
      </c>
      <c r="P4" s="19">
        <f>N4-O4</f>
        <v>0</v>
      </c>
    </row>
    <row r="5" spans="1:16" ht="30" customHeight="1" x14ac:dyDescent="0.3">
      <c r="A5" s="46">
        <v>46114</v>
      </c>
      <c r="B5" s="30" t="s">
        <v>47</v>
      </c>
      <c r="C5" s="13" t="s">
        <v>121</v>
      </c>
      <c r="D5" s="14" t="s">
        <v>134</v>
      </c>
      <c r="E5" s="15" t="s">
        <v>170</v>
      </c>
      <c r="F5" s="16" t="s">
        <v>171</v>
      </c>
      <c r="G5" s="12" t="s">
        <v>170</v>
      </c>
      <c r="H5" s="17" t="s">
        <v>55</v>
      </c>
      <c r="I5" s="18">
        <v>10</v>
      </c>
      <c r="J5" s="22" t="s">
        <v>41</v>
      </c>
      <c r="L5" s="55">
        <v>2</v>
      </c>
      <c r="M5" s="14" t="s">
        <v>172</v>
      </c>
      <c r="N5" s="56">
        <v>4</v>
      </c>
      <c r="O5" s="19">
        <v>4</v>
      </c>
      <c r="P5" s="19">
        <f t="shared" ref="P5:P29" si="0">N5-O5</f>
        <v>0</v>
      </c>
    </row>
    <row r="6" spans="1:16" ht="30" customHeight="1" x14ac:dyDescent="0.3">
      <c r="A6" s="70">
        <v>46115</v>
      </c>
      <c r="B6" s="30" t="s">
        <v>175</v>
      </c>
      <c r="C6" s="13" t="s">
        <v>71</v>
      </c>
      <c r="D6" s="14" t="s">
        <v>172</v>
      </c>
      <c r="E6" s="15" t="s">
        <v>173</v>
      </c>
      <c r="F6" s="16" t="s">
        <v>74</v>
      </c>
      <c r="G6" s="12" t="s">
        <v>173</v>
      </c>
      <c r="H6" s="17" t="s">
        <v>45</v>
      </c>
      <c r="I6" s="18">
        <v>8</v>
      </c>
      <c r="J6" s="64" t="s">
        <v>42</v>
      </c>
      <c r="L6" s="55">
        <v>3</v>
      </c>
      <c r="M6" s="14" t="s">
        <v>245</v>
      </c>
      <c r="N6" s="56">
        <v>1</v>
      </c>
      <c r="O6" s="19">
        <v>1</v>
      </c>
      <c r="P6" s="19">
        <f t="shared" si="0"/>
        <v>0</v>
      </c>
    </row>
    <row r="7" spans="1:16" ht="30" customHeight="1" x14ac:dyDescent="0.3">
      <c r="A7" s="72"/>
      <c r="B7" s="30" t="s">
        <v>47</v>
      </c>
      <c r="C7" s="13" t="s">
        <v>53</v>
      </c>
      <c r="D7" s="14" t="s">
        <v>245</v>
      </c>
      <c r="E7" s="15" t="s">
        <v>174</v>
      </c>
      <c r="F7" s="16" t="s">
        <v>171</v>
      </c>
      <c r="G7" s="12" t="s">
        <v>174</v>
      </c>
      <c r="H7" s="17" t="s">
        <v>55</v>
      </c>
      <c r="I7" s="18">
        <v>12</v>
      </c>
      <c r="J7" s="65"/>
      <c r="L7" s="55">
        <v>4</v>
      </c>
      <c r="M7" s="14" t="s">
        <v>176</v>
      </c>
      <c r="N7" s="56">
        <v>1</v>
      </c>
      <c r="O7" s="19">
        <v>1</v>
      </c>
      <c r="P7" s="19">
        <f t="shared" si="0"/>
        <v>0</v>
      </c>
    </row>
    <row r="8" spans="1:16" ht="30" customHeight="1" x14ac:dyDescent="0.3">
      <c r="A8" s="46">
        <v>46116</v>
      </c>
      <c r="B8" s="30" t="s">
        <v>18</v>
      </c>
      <c r="C8" s="13" t="s">
        <v>178</v>
      </c>
      <c r="D8" s="14" t="s">
        <v>176</v>
      </c>
      <c r="E8" s="15" t="s">
        <v>21</v>
      </c>
      <c r="F8" s="16" t="s">
        <v>177</v>
      </c>
      <c r="G8" s="12" t="s">
        <v>21</v>
      </c>
      <c r="H8" s="17" t="s">
        <v>179</v>
      </c>
      <c r="I8" s="18">
        <v>3</v>
      </c>
      <c r="J8" s="22" t="s">
        <v>46</v>
      </c>
      <c r="L8" s="55">
        <v>5</v>
      </c>
      <c r="M8" s="58" t="s">
        <v>180</v>
      </c>
      <c r="N8" s="56">
        <v>1</v>
      </c>
      <c r="O8" s="19">
        <v>1</v>
      </c>
      <c r="P8" s="19">
        <f t="shared" si="0"/>
        <v>0</v>
      </c>
    </row>
    <row r="9" spans="1:16" ht="30" customHeight="1" x14ac:dyDescent="0.3">
      <c r="A9" s="23"/>
      <c r="B9" s="24"/>
      <c r="C9" s="25"/>
      <c r="D9" s="26"/>
      <c r="E9" s="24"/>
      <c r="F9" s="26"/>
      <c r="G9" s="24"/>
      <c r="H9" s="24"/>
      <c r="I9" s="24"/>
      <c r="J9" s="27"/>
      <c r="L9" s="55">
        <v>6</v>
      </c>
      <c r="M9" s="14" t="s">
        <v>185</v>
      </c>
      <c r="N9" s="57">
        <v>1</v>
      </c>
      <c r="O9" s="21">
        <v>1</v>
      </c>
      <c r="P9" s="19">
        <f t="shared" si="0"/>
        <v>0</v>
      </c>
    </row>
    <row r="10" spans="1:16" ht="46.8" x14ac:dyDescent="0.3">
      <c r="A10" s="46">
        <v>46118</v>
      </c>
      <c r="B10" s="30" t="s">
        <v>18</v>
      </c>
      <c r="C10" s="31" t="s">
        <v>183</v>
      </c>
      <c r="D10" s="14" t="s">
        <v>180</v>
      </c>
      <c r="E10" s="32" t="s">
        <v>181</v>
      </c>
      <c r="F10" s="16" t="s">
        <v>182</v>
      </c>
      <c r="G10" s="12" t="s">
        <v>181</v>
      </c>
      <c r="H10" s="17" t="s">
        <v>184</v>
      </c>
      <c r="I10" s="18">
        <v>32</v>
      </c>
      <c r="J10" s="22" t="s">
        <v>24</v>
      </c>
      <c r="L10" s="55">
        <v>7</v>
      </c>
      <c r="M10" s="28" t="s">
        <v>186</v>
      </c>
      <c r="N10" s="57">
        <v>1</v>
      </c>
      <c r="O10" s="21">
        <v>1</v>
      </c>
      <c r="P10" s="19">
        <f t="shared" si="0"/>
        <v>0</v>
      </c>
    </row>
    <row r="11" spans="1:16" ht="46.8" x14ac:dyDescent="0.3">
      <c r="A11" s="33">
        <v>46119</v>
      </c>
      <c r="B11" s="30" t="s">
        <v>18</v>
      </c>
      <c r="C11" s="31" t="s">
        <v>183</v>
      </c>
      <c r="D11" s="14" t="s">
        <v>185</v>
      </c>
      <c r="E11" s="32" t="s">
        <v>181</v>
      </c>
      <c r="F11" s="16" t="s">
        <v>182</v>
      </c>
      <c r="G11" s="12" t="s">
        <v>181</v>
      </c>
      <c r="H11" s="17" t="s">
        <v>184</v>
      </c>
      <c r="I11" s="18">
        <v>28</v>
      </c>
      <c r="J11" s="52" t="s">
        <v>29</v>
      </c>
      <c r="L11" s="55">
        <v>8</v>
      </c>
      <c r="M11" s="28" t="s">
        <v>187</v>
      </c>
      <c r="N11" s="57">
        <v>1</v>
      </c>
      <c r="O11" s="21">
        <v>1</v>
      </c>
      <c r="P11" s="19">
        <f t="shared" si="0"/>
        <v>0</v>
      </c>
    </row>
    <row r="12" spans="1:16" ht="46.8" x14ac:dyDescent="0.3">
      <c r="A12" s="70">
        <v>46120</v>
      </c>
      <c r="B12" s="30" t="s">
        <v>18</v>
      </c>
      <c r="C12" s="31" t="s">
        <v>183</v>
      </c>
      <c r="D12" s="14" t="s">
        <v>246</v>
      </c>
      <c r="E12" s="32" t="s">
        <v>181</v>
      </c>
      <c r="F12" s="16" t="s">
        <v>182</v>
      </c>
      <c r="G12" s="12" t="s">
        <v>181</v>
      </c>
      <c r="H12" s="17" t="s">
        <v>184</v>
      </c>
      <c r="I12" s="18">
        <v>31</v>
      </c>
      <c r="J12" s="64" t="s">
        <v>39</v>
      </c>
      <c r="L12" s="55">
        <v>9</v>
      </c>
      <c r="M12" s="28" t="s">
        <v>189</v>
      </c>
      <c r="N12" s="57">
        <v>1</v>
      </c>
      <c r="O12" s="21">
        <v>1</v>
      </c>
      <c r="P12" s="19">
        <f t="shared" si="0"/>
        <v>0</v>
      </c>
    </row>
    <row r="13" spans="1:16" ht="28.95" customHeight="1" x14ac:dyDescent="0.3">
      <c r="A13" s="71"/>
      <c r="B13" s="30" t="s">
        <v>142</v>
      </c>
      <c r="C13" s="31" t="s">
        <v>125</v>
      </c>
      <c r="D13" s="14" t="s">
        <v>144</v>
      </c>
      <c r="E13" s="32" t="s">
        <v>194</v>
      </c>
      <c r="F13" s="16" t="s">
        <v>74</v>
      </c>
      <c r="G13" s="12" t="s">
        <v>194</v>
      </c>
      <c r="H13" s="17" t="s">
        <v>23</v>
      </c>
      <c r="I13" s="18">
        <v>12</v>
      </c>
      <c r="J13" s="69"/>
      <c r="L13" s="55">
        <v>10</v>
      </c>
      <c r="M13" s="28" t="s">
        <v>190</v>
      </c>
      <c r="N13" s="57">
        <v>1</v>
      </c>
      <c r="O13" s="21">
        <v>1</v>
      </c>
      <c r="P13" s="19">
        <f t="shared" si="0"/>
        <v>0</v>
      </c>
    </row>
    <row r="14" spans="1:16" ht="27" customHeight="1" x14ac:dyDescent="0.3">
      <c r="A14" s="72"/>
      <c r="B14" s="30" t="s">
        <v>63</v>
      </c>
      <c r="C14" s="13" t="s">
        <v>121</v>
      </c>
      <c r="D14" s="14" t="s">
        <v>134</v>
      </c>
      <c r="E14" s="15" t="s">
        <v>188</v>
      </c>
      <c r="F14" s="16" t="s">
        <v>171</v>
      </c>
      <c r="G14" s="12" t="s">
        <v>188</v>
      </c>
      <c r="H14" s="17" t="s">
        <v>55</v>
      </c>
      <c r="I14" s="18">
        <v>8</v>
      </c>
      <c r="J14" s="65"/>
      <c r="L14" s="55">
        <v>11</v>
      </c>
      <c r="M14" s="28" t="s">
        <v>157</v>
      </c>
      <c r="N14" s="57">
        <v>1</v>
      </c>
      <c r="O14" s="21">
        <v>1</v>
      </c>
      <c r="P14" s="19">
        <f t="shared" si="0"/>
        <v>0</v>
      </c>
    </row>
    <row r="15" spans="1:16" ht="46.8" x14ac:dyDescent="0.3">
      <c r="A15" s="46">
        <v>46121</v>
      </c>
      <c r="B15" s="30" t="s">
        <v>18</v>
      </c>
      <c r="C15" s="31" t="s">
        <v>183</v>
      </c>
      <c r="D15" s="14" t="s">
        <v>189</v>
      </c>
      <c r="E15" s="32" t="s">
        <v>181</v>
      </c>
      <c r="F15" s="16" t="s">
        <v>182</v>
      </c>
      <c r="G15" s="12" t="s">
        <v>181</v>
      </c>
      <c r="H15" s="17" t="s">
        <v>184</v>
      </c>
      <c r="I15" s="18">
        <v>28</v>
      </c>
      <c r="J15" s="22" t="s">
        <v>41</v>
      </c>
      <c r="L15" s="55">
        <v>12</v>
      </c>
      <c r="M15" s="36" t="s">
        <v>244</v>
      </c>
      <c r="N15" s="57">
        <v>1</v>
      </c>
      <c r="O15" s="21">
        <v>1</v>
      </c>
      <c r="P15" s="19">
        <f t="shared" si="0"/>
        <v>0</v>
      </c>
    </row>
    <row r="16" spans="1:16" ht="46.8" x14ac:dyDescent="0.3">
      <c r="A16" s="75">
        <v>46122</v>
      </c>
      <c r="B16" s="30" t="s">
        <v>18</v>
      </c>
      <c r="C16" s="31" t="s">
        <v>183</v>
      </c>
      <c r="D16" s="14" t="s">
        <v>190</v>
      </c>
      <c r="E16" s="32" t="s">
        <v>181</v>
      </c>
      <c r="F16" s="16" t="s">
        <v>182</v>
      </c>
      <c r="G16" s="12" t="s">
        <v>181</v>
      </c>
      <c r="H16" s="17" t="s">
        <v>184</v>
      </c>
      <c r="I16" s="18">
        <v>32</v>
      </c>
      <c r="J16" s="76" t="s">
        <v>42</v>
      </c>
      <c r="L16" s="55">
        <v>13</v>
      </c>
      <c r="M16" s="14" t="s">
        <v>208</v>
      </c>
      <c r="N16" s="57">
        <v>1</v>
      </c>
      <c r="O16" s="21">
        <v>1</v>
      </c>
      <c r="P16" s="19">
        <f t="shared" si="0"/>
        <v>0</v>
      </c>
    </row>
    <row r="17" spans="1:16" ht="25.2" customHeight="1" x14ac:dyDescent="0.3">
      <c r="A17" s="75"/>
      <c r="B17" s="30" t="s">
        <v>142</v>
      </c>
      <c r="C17" s="31" t="s">
        <v>71</v>
      </c>
      <c r="D17" s="14" t="s">
        <v>157</v>
      </c>
      <c r="E17" s="32" t="s">
        <v>140</v>
      </c>
      <c r="F17" s="16" t="s">
        <v>74</v>
      </c>
      <c r="G17" s="12" t="s">
        <v>140</v>
      </c>
      <c r="H17" s="17" t="s">
        <v>45</v>
      </c>
      <c r="I17" s="18">
        <v>11</v>
      </c>
      <c r="J17" s="76"/>
      <c r="L17" s="55">
        <v>14</v>
      </c>
      <c r="M17" s="14" t="s">
        <v>195</v>
      </c>
      <c r="N17" s="57">
        <v>1</v>
      </c>
      <c r="O17" s="21">
        <v>1</v>
      </c>
      <c r="P17" s="19">
        <f t="shared" si="0"/>
        <v>0</v>
      </c>
    </row>
    <row r="18" spans="1:16" ht="30" customHeight="1" x14ac:dyDescent="0.3">
      <c r="A18" s="70">
        <v>46123</v>
      </c>
      <c r="B18" s="30" t="s">
        <v>142</v>
      </c>
      <c r="C18" s="31" t="s">
        <v>43</v>
      </c>
      <c r="D18" s="14" t="s">
        <v>213</v>
      </c>
      <c r="E18" s="32" t="s">
        <v>191</v>
      </c>
      <c r="F18" s="16" t="s">
        <v>22</v>
      </c>
      <c r="G18" s="12" t="s">
        <v>21</v>
      </c>
      <c r="H18" s="17" t="s">
        <v>45</v>
      </c>
      <c r="I18" s="18">
        <v>10</v>
      </c>
      <c r="J18" s="64" t="s">
        <v>46</v>
      </c>
      <c r="L18" s="55">
        <v>15</v>
      </c>
      <c r="M18" s="14" t="s">
        <v>192</v>
      </c>
      <c r="N18" s="57">
        <v>1</v>
      </c>
      <c r="O18" s="21">
        <v>1</v>
      </c>
      <c r="P18" s="19">
        <f t="shared" si="0"/>
        <v>0</v>
      </c>
    </row>
    <row r="19" spans="1:16" ht="30" customHeight="1" x14ac:dyDescent="0.3">
      <c r="A19" s="71"/>
      <c r="B19" s="30" t="s">
        <v>51</v>
      </c>
      <c r="C19" s="31" t="s">
        <v>43</v>
      </c>
      <c r="D19" s="14" t="s">
        <v>242</v>
      </c>
      <c r="E19" s="32" t="s">
        <v>191</v>
      </c>
      <c r="F19" s="16" t="s">
        <v>215</v>
      </c>
      <c r="G19" s="12" t="s">
        <v>21</v>
      </c>
      <c r="H19" s="17" t="s">
        <v>45</v>
      </c>
      <c r="I19" s="18">
        <v>9</v>
      </c>
      <c r="J19" s="69"/>
      <c r="L19" s="55">
        <v>16</v>
      </c>
      <c r="M19" s="58" t="s">
        <v>217</v>
      </c>
      <c r="N19" s="57">
        <v>2</v>
      </c>
      <c r="O19" s="21">
        <v>2</v>
      </c>
      <c r="P19" s="19">
        <f t="shared" si="0"/>
        <v>0</v>
      </c>
    </row>
    <row r="20" spans="1:16" ht="30" customHeight="1" x14ac:dyDescent="0.3">
      <c r="A20" s="71"/>
      <c r="B20" s="30" t="s">
        <v>142</v>
      </c>
      <c r="C20" s="31" t="s">
        <v>43</v>
      </c>
      <c r="D20" s="14" t="s">
        <v>208</v>
      </c>
      <c r="E20" s="32" t="s">
        <v>209</v>
      </c>
      <c r="F20" s="16" t="s">
        <v>22</v>
      </c>
      <c r="G20" s="12" t="s">
        <v>21</v>
      </c>
      <c r="H20" s="17" t="s">
        <v>45</v>
      </c>
      <c r="I20" s="18">
        <v>10</v>
      </c>
      <c r="J20" s="69"/>
      <c r="L20" s="55">
        <v>17</v>
      </c>
      <c r="M20" s="14" t="s">
        <v>204</v>
      </c>
      <c r="N20" s="57">
        <v>1</v>
      </c>
      <c r="O20" s="21">
        <v>1</v>
      </c>
      <c r="P20" s="19">
        <f t="shared" si="0"/>
        <v>0</v>
      </c>
    </row>
    <row r="21" spans="1:16" ht="30" customHeight="1" x14ac:dyDescent="0.3">
      <c r="A21" s="71"/>
      <c r="B21" s="30" t="s">
        <v>18</v>
      </c>
      <c r="C21" s="31" t="s">
        <v>43</v>
      </c>
      <c r="D21" s="14" t="s">
        <v>195</v>
      </c>
      <c r="E21" s="32" t="s">
        <v>21</v>
      </c>
      <c r="F21" s="16" t="s">
        <v>106</v>
      </c>
      <c r="G21" s="12" t="s">
        <v>21</v>
      </c>
      <c r="H21" s="17" t="s">
        <v>139</v>
      </c>
      <c r="I21" s="18" t="s">
        <v>196</v>
      </c>
      <c r="J21" s="69"/>
      <c r="L21" s="55">
        <v>18</v>
      </c>
      <c r="M21" s="14" t="s">
        <v>205</v>
      </c>
      <c r="N21" s="57">
        <v>1</v>
      </c>
      <c r="O21" s="21">
        <v>1</v>
      </c>
      <c r="P21" s="19">
        <f t="shared" si="0"/>
        <v>0</v>
      </c>
    </row>
    <row r="22" spans="1:16" ht="30" customHeight="1" x14ac:dyDescent="0.3">
      <c r="A22" s="72"/>
      <c r="B22" s="30" t="s">
        <v>98</v>
      </c>
      <c r="C22" s="13" t="s">
        <v>197</v>
      </c>
      <c r="D22" s="14" t="s">
        <v>192</v>
      </c>
      <c r="E22" s="15" t="s">
        <v>193</v>
      </c>
      <c r="F22" s="16" t="s">
        <v>201</v>
      </c>
      <c r="G22" s="12" t="s">
        <v>193</v>
      </c>
      <c r="H22" s="17" t="s">
        <v>198</v>
      </c>
      <c r="I22" s="18">
        <v>12</v>
      </c>
      <c r="J22" s="65"/>
      <c r="L22" s="55">
        <v>19</v>
      </c>
      <c r="M22" s="14" t="s">
        <v>206</v>
      </c>
      <c r="N22" s="57">
        <v>1</v>
      </c>
      <c r="O22" s="21">
        <v>0</v>
      </c>
      <c r="P22" s="19">
        <f>N22-O22</f>
        <v>1</v>
      </c>
    </row>
    <row r="23" spans="1:16" ht="30" customHeight="1" x14ac:dyDescent="0.3">
      <c r="A23" s="23"/>
      <c r="B23" s="24"/>
      <c r="C23" s="25"/>
      <c r="D23" s="26"/>
      <c r="E23" s="24"/>
      <c r="F23" s="26"/>
      <c r="G23" s="24"/>
      <c r="H23" s="24"/>
      <c r="I23" s="24"/>
      <c r="J23" s="24"/>
      <c r="L23" s="55">
        <v>20</v>
      </c>
      <c r="M23" s="14" t="s">
        <v>207</v>
      </c>
      <c r="N23" s="57">
        <v>1</v>
      </c>
      <c r="O23" s="21">
        <v>1</v>
      </c>
      <c r="P23" s="19">
        <f t="shared" si="0"/>
        <v>0</v>
      </c>
    </row>
    <row r="24" spans="1:16" ht="30" customHeight="1" x14ac:dyDescent="0.3">
      <c r="A24" s="46">
        <v>46125</v>
      </c>
      <c r="B24" s="30"/>
      <c r="C24" s="31"/>
      <c r="D24" s="37"/>
      <c r="E24" s="32"/>
      <c r="F24" s="16"/>
      <c r="G24" s="12"/>
      <c r="H24" s="17"/>
      <c r="I24" s="18"/>
      <c r="J24" s="22" t="s">
        <v>24</v>
      </c>
      <c r="L24" s="55">
        <v>21</v>
      </c>
      <c r="M24" s="58" t="s">
        <v>212</v>
      </c>
      <c r="N24" s="57">
        <v>2</v>
      </c>
      <c r="O24" s="21">
        <v>2</v>
      </c>
      <c r="P24" s="19">
        <f t="shared" si="0"/>
        <v>0</v>
      </c>
    </row>
    <row r="25" spans="1:16" ht="30" customHeight="1" x14ac:dyDescent="0.3">
      <c r="A25" s="70">
        <v>46126</v>
      </c>
      <c r="B25" s="30" t="s">
        <v>18</v>
      </c>
      <c r="C25" s="13" t="s">
        <v>121</v>
      </c>
      <c r="D25" s="14" t="s">
        <v>134</v>
      </c>
      <c r="E25" s="15" t="s">
        <v>199</v>
      </c>
      <c r="F25" s="16" t="s">
        <v>200</v>
      </c>
      <c r="G25" s="12" t="s">
        <v>199</v>
      </c>
      <c r="H25" s="17" t="s">
        <v>55</v>
      </c>
      <c r="I25" s="18">
        <v>10</v>
      </c>
      <c r="J25" s="64" t="s">
        <v>29</v>
      </c>
      <c r="L25" s="55">
        <v>22</v>
      </c>
      <c r="M25" s="14" t="s">
        <v>213</v>
      </c>
      <c r="N25" s="57">
        <v>2</v>
      </c>
      <c r="O25" s="21">
        <v>2</v>
      </c>
      <c r="P25" s="19">
        <f t="shared" si="0"/>
        <v>0</v>
      </c>
    </row>
    <row r="26" spans="1:16" ht="30" customHeight="1" x14ac:dyDescent="0.3">
      <c r="A26" s="72"/>
      <c r="B26" s="30" t="s">
        <v>142</v>
      </c>
      <c r="C26" s="13" t="s">
        <v>155</v>
      </c>
      <c r="D26" s="37" t="s">
        <v>217</v>
      </c>
      <c r="E26" s="32" t="s">
        <v>203</v>
      </c>
      <c r="F26" s="16" t="s">
        <v>202</v>
      </c>
      <c r="G26" s="12" t="s">
        <v>203</v>
      </c>
      <c r="H26" s="17" t="s">
        <v>55</v>
      </c>
      <c r="I26" s="18">
        <v>11</v>
      </c>
      <c r="J26" s="65"/>
      <c r="L26" s="55">
        <v>23</v>
      </c>
      <c r="M26" s="14" t="s">
        <v>242</v>
      </c>
      <c r="N26" s="57">
        <v>2</v>
      </c>
      <c r="O26" s="21">
        <v>2</v>
      </c>
      <c r="P26" s="19">
        <f t="shared" si="0"/>
        <v>0</v>
      </c>
    </row>
    <row r="27" spans="1:16" ht="30" customHeight="1" x14ac:dyDescent="0.3">
      <c r="A27" s="70">
        <v>46127</v>
      </c>
      <c r="B27" s="30" t="s">
        <v>142</v>
      </c>
      <c r="C27" s="13" t="s">
        <v>155</v>
      </c>
      <c r="D27" s="37" t="s">
        <v>204</v>
      </c>
      <c r="E27" s="32" t="s">
        <v>58</v>
      </c>
      <c r="F27" s="16" t="s">
        <v>202</v>
      </c>
      <c r="G27" s="12" t="s">
        <v>58</v>
      </c>
      <c r="H27" s="17" t="s">
        <v>55</v>
      </c>
      <c r="I27" s="18">
        <v>15</v>
      </c>
      <c r="J27" s="64" t="s">
        <v>39</v>
      </c>
      <c r="L27" s="55">
        <v>24</v>
      </c>
      <c r="M27" s="14" t="s">
        <v>214</v>
      </c>
      <c r="N27" s="57">
        <v>2</v>
      </c>
      <c r="O27" s="21">
        <v>2</v>
      </c>
      <c r="P27" s="19">
        <f t="shared" si="0"/>
        <v>0</v>
      </c>
    </row>
    <row r="28" spans="1:16" ht="30" customHeight="1" x14ac:dyDescent="0.3">
      <c r="A28" s="72"/>
      <c r="B28" s="30" t="s">
        <v>142</v>
      </c>
      <c r="C28" s="31" t="s">
        <v>125</v>
      </c>
      <c r="D28" s="36" t="s">
        <v>205</v>
      </c>
      <c r="E28" s="32" t="s">
        <v>102</v>
      </c>
      <c r="F28" s="16" t="s">
        <v>74</v>
      </c>
      <c r="G28" s="12" t="s">
        <v>102</v>
      </c>
      <c r="H28" s="17" t="s">
        <v>23</v>
      </c>
      <c r="I28" s="18">
        <v>12</v>
      </c>
      <c r="J28" s="65"/>
      <c r="L28" s="55">
        <v>25</v>
      </c>
      <c r="M28" s="58" t="s">
        <v>219</v>
      </c>
      <c r="N28" s="57">
        <v>4</v>
      </c>
      <c r="O28" s="21">
        <v>3</v>
      </c>
      <c r="P28" s="19">
        <f t="shared" si="0"/>
        <v>1</v>
      </c>
    </row>
    <row r="29" spans="1:16" ht="30" customHeight="1" x14ac:dyDescent="0.3">
      <c r="A29" s="46">
        <v>46128</v>
      </c>
      <c r="B29" s="38" t="s">
        <v>142</v>
      </c>
      <c r="C29" s="39" t="s">
        <v>71</v>
      </c>
      <c r="D29" s="40" t="s">
        <v>206</v>
      </c>
      <c r="E29" s="38" t="s">
        <v>118</v>
      </c>
      <c r="F29" s="41" t="s">
        <v>74</v>
      </c>
      <c r="G29" s="42" t="s">
        <v>118</v>
      </c>
      <c r="H29" s="43" t="s">
        <v>45</v>
      </c>
      <c r="I29" s="42">
        <v>10</v>
      </c>
      <c r="J29" s="22" t="s">
        <v>41</v>
      </c>
      <c r="L29" s="55">
        <v>26</v>
      </c>
      <c r="M29" s="28" t="s">
        <v>144</v>
      </c>
      <c r="N29" s="57">
        <v>1</v>
      </c>
      <c r="O29" s="21">
        <v>1</v>
      </c>
      <c r="P29" s="19">
        <f t="shared" si="0"/>
        <v>0</v>
      </c>
    </row>
    <row r="30" spans="1:16" ht="30" customHeight="1" x14ac:dyDescent="0.3">
      <c r="A30" s="70">
        <v>46129</v>
      </c>
      <c r="B30" s="30" t="s">
        <v>18</v>
      </c>
      <c r="C30" s="13" t="s">
        <v>121</v>
      </c>
      <c r="D30" s="14" t="s">
        <v>134</v>
      </c>
      <c r="E30" s="15" t="s">
        <v>199</v>
      </c>
      <c r="F30" s="16" t="s">
        <v>200</v>
      </c>
      <c r="G30" s="12" t="s">
        <v>199</v>
      </c>
      <c r="H30" s="17" t="s">
        <v>55</v>
      </c>
      <c r="I30" s="18">
        <v>10</v>
      </c>
      <c r="J30" s="64" t="s">
        <v>42</v>
      </c>
      <c r="L30" s="55">
        <v>27</v>
      </c>
      <c r="M30" s="14" t="s">
        <v>221</v>
      </c>
      <c r="N30" s="57">
        <v>1</v>
      </c>
      <c r="O30" s="21">
        <v>1</v>
      </c>
      <c r="P30" s="19">
        <f t="shared" ref="P30:P37" si="1">N30-O30</f>
        <v>0</v>
      </c>
    </row>
    <row r="31" spans="1:16" ht="30" customHeight="1" x14ac:dyDescent="0.3">
      <c r="A31" s="72"/>
      <c r="B31" s="30" t="s">
        <v>142</v>
      </c>
      <c r="C31" s="31" t="s">
        <v>71</v>
      </c>
      <c r="D31" s="37" t="s">
        <v>207</v>
      </c>
      <c r="E31" s="32" t="s">
        <v>138</v>
      </c>
      <c r="F31" s="16" t="s">
        <v>74</v>
      </c>
      <c r="G31" s="12" t="s">
        <v>138</v>
      </c>
      <c r="H31" s="17" t="s">
        <v>45</v>
      </c>
      <c r="I31" s="18">
        <v>12</v>
      </c>
      <c r="J31" s="65"/>
      <c r="L31" s="55">
        <v>28</v>
      </c>
      <c r="M31" s="14" t="s">
        <v>15</v>
      </c>
      <c r="N31" s="57">
        <v>2</v>
      </c>
      <c r="O31" s="21">
        <v>2</v>
      </c>
      <c r="P31" s="19">
        <f t="shared" si="1"/>
        <v>0</v>
      </c>
    </row>
    <row r="32" spans="1:16" ht="30" customHeight="1" x14ac:dyDescent="0.3">
      <c r="A32" s="70">
        <v>46130</v>
      </c>
      <c r="B32" s="30" t="s">
        <v>142</v>
      </c>
      <c r="C32" s="31" t="s">
        <v>43</v>
      </c>
      <c r="D32" s="37" t="s">
        <v>212</v>
      </c>
      <c r="E32" s="32" t="s">
        <v>209</v>
      </c>
      <c r="F32" s="16" t="s">
        <v>210</v>
      </c>
      <c r="G32" s="12" t="s">
        <v>21</v>
      </c>
      <c r="H32" s="17" t="s">
        <v>45</v>
      </c>
      <c r="I32" s="18">
        <v>10</v>
      </c>
      <c r="J32" s="64" t="s">
        <v>46</v>
      </c>
      <c r="L32" s="55">
        <v>29</v>
      </c>
      <c r="M32" s="20" t="s">
        <v>228</v>
      </c>
      <c r="N32" s="57">
        <v>1</v>
      </c>
      <c r="O32" s="21">
        <v>1</v>
      </c>
      <c r="P32" s="19">
        <f t="shared" si="1"/>
        <v>0</v>
      </c>
    </row>
    <row r="33" spans="1:16" ht="30" customHeight="1" x14ac:dyDescent="0.3">
      <c r="A33" s="71"/>
      <c r="B33" s="30" t="s">
        <v>51</v>
      </c>
      <c r="C33" s="31" t="s">
        <v>43</v>
      </c>
      <c r="D33" s="14" t="s">
        <v>213</v>
      </c>
      <c r="E33" s="32" t="s">
        <v>191</v>
      </c>
      <c r="F33" s="16" t="s">
        <v>216</v>
      </c>
      <c r="G33" s="12" t="s">
        <v>21</v>
      </c>
      <c r="H33" s="17" t="s">
        <v>45</v>
      </c>
      <c r="I33" s="18">
        <v>9</v>
      </c>
      <c r="J33" s="69"/>
      <c r="L33" s="55">
        <v>30</v>
      </c>
      <c r="M33" s="14" t="s">
        <v>232</v>
      </c>
      <c r="N33" s="57">
        <v>1</v>
      </c>
      <c r="O33" s="21">
        <v>1</v>
      </c>
      <c r="P33" s="19">
        <f t="shared" si="1"/>
        <v>0</v>
      </c>
    </row>
    <row r="34" spans="1:16" ht="30" customHeight="1" x14ac:dyDescent="0.3">
      <c r="A34" s="71"/>
      <c r="B34" s="30" t="s">
        <v>211</v>
      </c>
      <c r="C34" s="31" t="s">
        <v>43</v>
      </c>
      <c r="D34" s="14" t="s">
        <v>242</v>
      </c>
      <c r="E34" s="32" t="s">
        <v>191</v>
      </c>
      <c r="F34" s="16" t="s">
        <v>215</v>
      </c>
      <c r="G34" s="12" t="s">
        <v>21</v>
      </c>
      <c r="H34" s="17" t="s">
        <v>45</v>
      </c>
      <c r="I34" s="18">
        <v>10</v>
      </c>
      <c r="J34" s="69"/>
      <c r="L34" s="55">
        <v>31</v>
      </c>
      <c r="M34" s="37" t="s">
        <v>243</v>
      </c>
      <c r="N34" s="57">
        <v>1</v>
      </c>
      <c r="O34" s="21">
        <v>1</v>
      </c>
      <c r="P34" s="19">
        <f t="shared" si="1"/>
        <v>0</v>
      </c>
    </row>
    <row r="35" spans="1:16" ht="30" customHeight="1" x14ac:dyDescent="0.3">
      <c r="A35" s="72"/>
      <c r="B35" s="30" t="s">
        <v>98</v>
      </c>
      <c r="C35" s="31" t="s">
        <v>43</v>
      </c>
      <c r="D35" s="14" t="s">
        <v>214</v>
      </c>
      <c r="E35" s="32" t="s">
        <v>191</v>
      </c>
      <c r="F35" s="16" t="s">
        <v>201</v>
      </c>
      <c r="G35" s="12" t="s">
        <v>21</v>
      </c>
      <c r="H35" s="17" t="s">
        <v>45</v>
      </c>
      <c r="I35" s="18">
        <v>10</v>
      </c>
      <c r="J35" s="65"/>
      <c r="L35" s="55">
        <v>32</v>
      </c>
      <c r="M35" s="20" t="s">
        <v>237</v>
      </c>
      <c r="N35" s="57">
        <v>1</v>
      </c>
      <c r="O35" s="21">
        <v>1</v>
      </c>
      <c r="P35" s="19">
        <f t="shared" si="1"/>
        <v>0</v>
      </c>
    </row>
    <row r="36" spans="1:16" ht="30" customHeight="1" x14ac:dyDescent="0.3">
      <c r="A36" s="23"/>
      <c r="B36" s="24"/>
      <c r="C36" s="25"/>
      <c r="D36" s="26"/>
      <c r="E36" s="24"/>
      <c r="F36" s="26"/>
      <c r="G36" s="24"/>
      <c r="H36" s="24"/>
      <c r="I36" s="24"/>
      <c r="J36" s="24"/>
      <c r="L36" s="55">
        <v>33</v>
      </c>
      <c r="M36" s="20" t="s">
        <v>240</v>
      </c>
      <c r="N36" s="57">
        <v>1</v>
      </c>
      <c r="O36" s="21">
        <v>1</v>
      </c>
      <c r="P36" s="19">
        <f t="shared" si="1"/>
        <v>0</v>
      </c>
    </row>
    <row r="37" spans="1:16" ht="30" customHeight="1" x14ac:dyDescent="0.3">
      <c r="A37" s="46">
        <v>46132</v>
      </c>
      <c r="B37" s="30"/>
      <c r="C37" s="31"/>
      <c r="D37" s="37"/>
      <c r="E37" s="32"/>
      <c r="F37" s="16"/>
      <c r="G37" s="12"/>
      <c r="H37" s="17"/>
      <c r="I37" s="18"/>
      <c r="J37" s="22" t="s">
        <v>24</v>
      </c>
      <c r="L37" s="55">
        <v>34</v>
      </c>
      <c r="M37" s="20" t="s">
        <v>241</v>
      </c>
      <c r="N37" s="20">
        <v>1</v>
      </c>
      <c r="O37" s="20">
        <v>0</v>
      </c>
      <c r="P37" s="20">
        <f t="shared" si="1"/>
        <v>1</v>
      </c>
    </row>
    <row r="38" spans="1:16" ht="30" customHeight="1" x14ac:dyDescent="0.3">
      <c r="A38" s="70">
        <v>46133</v>
      </c>
      <c r="B38" s="30" t="s">
        <v>18</v>
      </c>
      <c r="C38" s="13" t="s">
        <v>121</v>
      </c>
      <c r="D38" s="14" t="s">
        <v>134</v>
      </c>
      <c r="E38" s="15" t="s">
        <v>199</v>
      </c>
      <c r="F38" s="16" t="s">
        <v>200</v>
      </c>
      <c r="G38" s="12" t="s">
        <v>199</v>
      </c>
      <c r="H38" s="17" t="s">
        <v>55</v>
      </c>
      <c r="I38" s="18">
        <v>8</v>
      </c>
      <c r="J38" s="64" t="s">
        <v>29</v>
      </c>
      <c r="N38" s="1">
        <f>SUM(N4:N37)</f>
        <v>52</v>
      </c>
      <c r="O38" s="1">
        <f>SUM(O4:O37)</f>
        <v>49</v>
      </c>
      <c r="P38" s="1">
        <f>SUM(P4:P37)</f>
        <v>3</v>
      </c>
    </row>
    <row r="39" spans="1:16" ht="30" customHeight="1" x14ac:dyDescent="0.3">
      <c r="A39" s="71"/>
      <c r="B39" s="30" t="s">
        <v>218</v>
      </c>
      <c r="C39" s="31" t="s">
        <v>155</v>
      </c>
      <c r="D39" s="37" t="s">
        <v>217</v>
      </c>
      <c r="E39" s="32" t="s">
        <v>61</v>
      </c>
      <c r="F39" s="16" t="s">
        <v>202</v>
      </c>
      <c r="G39" s="12" t="s">
        <v>61</v>
      </c>
      <c r="H39" s="17" t="s">
        <v>55</v>
      </c>
      <c r="I39" s="18">
        <v>17</v>
      </c>
      <c r="J39" s="69"/>
    </row>
    <row r="40" spans="1:16" ht="30" customHeight="1" x14ac:dyDescent="0.3">
      <c r="A40" s="71"/>
      <c r="B40" s="30" t="s">
        <v>51</v>
      </c>
      <c r="C40" s="31" t="s">
        <v>71</v>
      </c>
      <c r="D40" s="37" t="s">
        <v>219</v>
      </c>
      <c r="E40" s="32" t="s">
        <v>108</v>
      </c>
      <c r="F40" s="16" t="s">
        <v>220</v>
      </c>
      <c r="G40" s="12" t="s">
        <v>108</v>
      </c>
      <c r="H40" s="17" t="s">
        <v>45</v>
      </c>
      <c r="I40" s="18">
        <v>6</v>
      </c>
      <c r="J40" s="69"/>
    </row>
    <row r="41" spans="1:16" ht="30" customHeight="1" x14ac:dyDescent="0.3">
      <c r="A41" s="72"/>
      <c r="B41" s="30" t="s">
        <v>142</v>
      </c>
      <c r="C41" s="13" t="s">
        <v>71</v>
      </c>
      <c r="D41" s="14" t="s">
        <v>172</v>
      </c>
      <c r="E41" s="15" t="s">
        <v>124</v>
      </c>
      <c r="F41" s="16" t="s">
        <v>74</v>
      </c>
      <c r="G41" s="12" t="s">
        <v>124</v>
      </c>
      <c r="H41" s="17" t="s">
        <v>45</v>
      </c>
      <c r="I41" s="18">
        <v>12</v>
      </c>
      <c r="J41" s="65"/>
    </row>
    <row r="42" spans="1:16" ht="30" customHeight="1" x14ac:dyDescent="0.3">
      <c r="A42" s="70">
        <v>46134</v>
      </c>
      <c r="B42" s="30" t="s">
        <v>18</v>
      </c>
      <c r="C42" s="13" t="s">
        <v>161</v>
      </c>
      <c r="D42" s="14" t="s">
        <v>221</v>
      </c>
      <c r="E42" s="15" t="s">
        <v>199</v>
      </c>
      <c r="F42" s="16" t="s">
        <v>199</v>
      </c>
      <c r="G42" s="12" t="s">
        <v>199</v>
      </c>
      <c r="H42" s="17" t="s">
        <v>139</v>
      </c>
      <c r="I42" s="18" t="s">
        <v>222</v>
      </c>
      <c r="J42" s="64" t="s">
        <v>39</v>
      </c>
    </row>
    <row r="43" spans="1:16" ht="30" customHeight="1" x14ac:dyDescent="0.3">
      <c r="A43" s="71"/>
      <c r="B43" s="30" t="s">
        <v>211</v>
      </c>
      <c r="C43" s="31" t="s">
        <v>155</v>
      </c>
      <c r="D43" s="14" t="s">
        <v>15</v>
      </c>
      <c r="E43" s="15" t="s">
        <v>223</v>
      </c>
      <c r="F43" s="16" t="s">
        <v>225</v>
      </c>
      <c r="G43" s="12" t="s">
        <v>224</v>
      </c>
      <c r="H43" s="17" t="s">
        <v>55</v>
      </c>
      <c r="I43" s="18">
        <v>20</v>
      </c>
      <c r="J43" s="69"/>
    </row>
    <row r="44" spans="1:16" ht="30" customHeight="1" x14ac:dyDescent="0.3">
      <c r="A44" s="71"/>
      <c r="B44" s="30" t="s">
        <v>51</v>
      </c>
      <c r="C44" s="31" t="s">
        <v>71</v>
      </c>
      <c r="D44" s="37" t="s">
        <v>219</v>
      </c>
      <c r="E44" s="32" t="s">
        <v>108</v>
      </c>
      <c r="F44" s="16" t="s">
        <v>220</v>
      </c>
      <c r="G44" s="12" t="s">
        <v>108</v>
      </c>
      <c r="H44" s="17" t="s">
        <v>45</v>
      </c>
      <c r="I44" s="18">
        <v>6</v>
      </c>
      <c r="J44" s="69"/>
    </row>
    <row r="45" spans="1:16" ht="30" customHeight="1" x14ac:dyDescent="0.3">
      <c r="A45" s="72"/>
      <c r="B45" s="30" t="s">
        <v>142</v>
      </c>
      <c r="C45" s="13" t="s">
        <v>71</v>
      </c>
      <c r="D45" s="14" t="s">
        <v>172</v>
      </c>
      <c r="E45" s="15" t="s">
        <v>124</v>
      </c>
      <c r="F45" s="16" t="s">
        <v>74</v>
      </c>
      <c r="G45" s="12" t="s">
        <v>124</v>
      </c>
      <c r="H45" s="17" t="s">
        <v>45</v>
      </c>
      <c r="I45" s="18">
        <v>12</v>
      </c>
      <c r="J45" s="65"/>
    </row>
    <row r="46" spans="1:16" ht="30" customHeight="1" x14ac:dyDescent="0.3">
      <c r="A46" s="70">
        <v>46135</v>
      </c>
      <c r="B46" s="30" t="s">
        <v>211</v>
      </c>
      <c r="C46" s="31" t="s">
        <v>155</v>
      </c>
      <c r="D46" s="14" t="s">
        <v>226</v>
      </c>
      <c r="E46" s="15" t="s">
        <v>227</v>
      </c>
      <c r="F46" s="16" t="s">
        <v>225</v>
      </c>
      <c r="G46" s="12" t="s">
        <v>224</v>
      </c>
      <c r="H46" s="17" t="s">
        <v>55</v>
      </c>
      <c r="I46" s="18">
        <v>20</v>
      </c>
      <c r="J46" s="64" t="s">
        <v>41</v>
      </c>
    </row>
    <row r="47" spans="1:16" ht="30" customHeight="1" x14ac:dyDescent="0.3">
      <c r="A47" s="71"/>
      <c r="B47" s="30" t="s">
        <v>51</v>
      </c>
      <c r="C47" s="31" t="s">
        <v>71</v>
      </c>
      <c r="D47" s="37" t="s">
        <v>219</v>
      </c>
      <c r="E47" s="32" t="s">
        <v>108</v>
      </c>
      <c r="F47" s="16" t="s">
        <v>220</v>
      </c>
      <c r="G47" s="12" t="s">
        <v>108</v>
      </c>
      <c r="H47" s="17" t="s">
        <v>45</v>
      </c>
      <c r="I47" s="18">
        <v>6</v>
      </c>
      <c r="J47" s="69"/>
    </row>
    <row r="48" spans="1:16" ht="30" customHeight="1" x14ac:dyDescent="0.3">
      <c r="A48" s="71"/>
      <c r="B48" s="30" t="s">
        <v>142</v>
      </c>
      <c r="C48" s="13" t="s">
        <v>71</v>
      </c>
      <c r="D48" s="14" t="s">
        <v>172</v>
      </c>
      <c r="E48" s="15" t="s">
        <v>124</v>
      </c>
      <c r="F48" s="16" t="s">
        <v>74</v>
      </c>
      <c r="G48" s="12" t="s">
        <v>124</v>
      </c>
      <c r="H48" s="17" t="s">
        <v>45</v>
      </c>
      <c r="I48" s="18">
        <v>12</v>
      </c>
      <c r="J48" s="69"/>
    </row>
    <row r="49" spans="1:13" ht="30" customHeight="1" x14ac:dyDescent="0.3">
      <c r="A49" s="70">
        <v>46136</v>
      </c>
      <c r="B49" s="30" t="s">
        <v>18</v>
      </c>
      <c r="C49" s="13" t="s">
        <v>121</v>
      </c>
      <c r="D49" s="14" t="s">
        <v>134</v>
      </c>
      <c r="E49" s="15" t="s">
        <v>231</v>
      </c>
      <c r="F49" s="16" t="s">
        <v>200</v>
      </c>
      <c r="G49" s="12" t="s">
        <v>61</v>
      </c>
      <c r="H49" s="17" t="s">
        <v>55</v>
      </c>
      <c r="I49" s="18">
        <v>17</v>
      </c>
      <c r="J49" s="64" t="s">
        <v>42</v>
      </c>
    </row>
    <row r="50" spans="1:13" ht="30" customHeight="1" x14ac:dyDescent="0.3">
      <c r="A50" s="72"/>
      <c r="B50" s="38" t="s">
        <v>51</v>
      </c>
      <c r="C50" s="39" t="s">
        <v>71</v>
      </c>
      <c r="D50" s="51" t="s">
        <v>219</v>
      </c>
      <c r="E50" s="38" t="s">
        <v>108</v>
      </c>
      <c r="F50" s="41" t="s">
        <v>220</v>
      </c>
      <c r="G50" s="42" t="s">
        <v>108</v>
      </c>
      <c r="H50" s="43" t="s">
        <v>45</v>
      </c>
      <c r="I50" s="42">
        <v>6</v>
      </c>
      <c r="J50" s="65"/>
    </row>
    <row r="51" spans="1:13" ht="30" customHeight="1" x14ac:dyDescent="0.3">
      <c r="A51" s="70">
        <v>46137</v>
      </c>
      <c r="B51" s="30" t="s">
        <v>233</v>
      </c>
      <c r="C51" s="31" t="s">
        <v>234</v>
      </c>
      <c r="D51" s="14" t="s">
        <v>232</v>
      </c>
      <c r="E51" s="15" t="s">
        <v>236</v>
      </c>
      <c r="F51" s="16" t="s">
        <v>22</v>
      </c>
      <c r="G51" s="12" t="s">
        <v>21</v>
      </c>
      <c r="H51" s="17" t="s">
        <v>235</v>
      </c>
      <c r="I51" s="18">
        <v>19</v>
      </c>
      <c r="J51" s="64" t="s">
        <v>46</v>
      </c>
    </row>
    <row r="52" spans="1:13" ht="30" customHeight="1" x14ac:dyDescent="0.3">
      <c r="A52" s="71"/>
      <c r="B52" s="30" t="s">
        <v>142</v>
      </c>
      <c r="C52" s="31" t="s">
        <v>43</v>
      </c>
      <c r="D52" s="37" t="s">
        <v>212</v>
      </c>
      <c r="E52" s="32" t="s">
        <v>209</v>
      </c>
      <c r="F52" s="16" t="s">
        <v>210</v>
      </c>
      <c r="G52" s="12" t="s">
        <v>21</v>
      </c>
      <c r="H52" s="17" t="s">
        <v>45</v>
      </c>
      <c r="I52" s="18">
        <v>13</v>
      </c>
      <c r="J52" s="69"/>
    </row>
    <row r="53" spans="1:13" ht="30" customHeight="1" x14ac:dyDescent="0.3">
      <c r="A53" s="71"/>
      <c r="B53" s="30" t="s">
        <v>211</v>
      </c>
      <c r="C53" s="31" t="s">
        <v>43</v>
      </c>
      <c r="D53" s="14" t="s">
        <v>214</v>
      </c>
      <c r="E53" s="32" t="s">
        <v>191</v>
      </c>
      <c r="F53" s="16" t="s">
        <v>201</v>
      </c>
      <c r="G53" s="12" t="s">
        <v>21</v>
      </c>
      <c r="H53" s="17" t="s">
        <v>45</v>
      </c>
      <c r="I53" s="18">
        <v>10</v>
      </c>
      <c r="J53" s="69"/>
    </row>
    <row r="54" spans="1:13" ht="30" customHeight="1" x14ac:dyDescent="0.3">
      <c r="A54" s="72"/>
      <c r="B54" s="38" t="s">
        <v>98</v>
      </c>
      <c r="C54" s="53" t="s">
        <v>197</v>
      </c>
      <c r="D54" s="41" t="s">
        <v>241</v>
      </c>
      <c r="E54" s="42" t="s">
        <v>193</v>
      </c>
      <c r="F54" s="41" t="s">
        <v>201</v>
      </c>
      <c r="G54" s="42" t="s">
        <v>193</v>
      </c>
      <c r="H54" s="43" t="s">
        <v>198</v>
      </c>
      <c r="I54" s="42">
        <v>12</v>
      </c>
      <c r="J54" s="65"/>
    </row>
    <row r="55" spans="1:13" ht="30" customHeight="1" x14ac:dyDescent="0.3">
      <c r="A55" s="23"/>
      <c r="B55" s="24"/>
      <c r="C55" s="25"/>
      <c r="D55" s="26"/>
      <c r="E55" s="24"/>
      <c r="F55" s="26"/>
      <c r="G55" s="24"/>
      <c r="H55" s="24"/>
      <c r="I55" s="24"/>
      <c r="J55" s="24"/>
    </row>
    <row r="56" spans="1:13" ht="30" customHeight="1" x14ac:dyDescent="0.3">
      <c r="A56" s="46">
        <v>46139</v>
      </c>
      <c r="B56" s="30"/>
      <c r="C56" s="31"/>
      <c r="D56" s="36"/>
      <c r="E56" s="15"/>
      <c r="F56" s="16"/>
      <c r="G56" s="12"/>
      <c r="H56" s="17"/>
      <c r="I56" s="18"/>
      <c r="J56" s="22" t="s">
        <v>24</v>
      </c>
    </row>
    <row r="57" spans="1:13" ht="30" customHeight="1" x14ac:dyDescent="0.3">
      <c r="A57" s="70">
        <v>46140</v>
      </c>
      <c r="B57" s="30" t="s">
        <v>18</v>
      </c>
      <c r="C57" s="31" t="s">
        <v>155</v>
      </c>
      <c r="D57" s="37" t="s">
        <v>237</v>
      </c>
      <c r="E57" s="32" t="s">
        <v>61</v>
      </c>
      <c r="F57" s="16" t="s">
        <v>202</v>
      </c>
      <c r="G57" s="12" t="s">
        <v>61</v>
      </c>
      <c r="H57" s="17" t="s">
        <v>55</v>
      </c>
      <c r="I57" s="18">
        <v>18</v>
      </c>
      <c r="J57" s="64" t="s">
        <v>29</v>
      </c>
    </row>
    <row r="58" spans="1:13" ht="30" customHeight="1" x14ac:dyDescent="0.3">
      <c r="A58" s="72"/>
      <c r="B58" s="30" t="s">
        <v>51</v>
      </c>
      <c r="C58" s="31" t="s">
        <v>43</v>
      </c>
      <c r="D58" s="37" t="s">
        <v>243</v>
      </c>
      <c r="E58" s="32" t="s">
        <v>108</v>
      </c>
      <c r="F58" s="16" t="s">
        <v>220</v>
      </c>
      <c r="G58" s="12" t="s">
        <v>108</v>
      </c>
      <c r="H58" s="17" t="s">
        <v>45</v>
      </c>
      <c r="I58" s="18">
        <v>5</v>
      </c>
      <c r="J58" s="65"/>
    </row>
    <row r="59" spans="1:13" ht="30" customHeight="1" x14ac:dyDescent="0.3">
      <c r="A59" s="70">
        <v>46141</v>
      </c>
      <c r="B59" s="30" t="s">
        <v>218</v>
      </c>
      <c r="C59" s="31" t="s">
        <v>155</v>
      </c>
      <c r="D59" s="36" t="s">
        <v>186</v>
      </c>
      <c r="E59" s="15" t="s">
        <v>238</v>
      </c>
      <c r="F59" s="16" t="s">
        <v>230</v>
      </c>
      <c r="G59" s="12" t="s">
        <v>238</v>
      </c>
      <c r="H59" s="17" t="s">
        <v>55</v>
      </c>
      <c r="I59" s="18">
        <v>16</v>
      </c>
      <c r="J59" s="64" t="s">
        <v>39</v>
      </c>
    </row>
    <row r="60" spans="1:13" ht="30" customHeight="1" x14ac:dyDescent="0.3">
      <c r="A60" s="72"/>
      <c r="B60" s="30" t="s">
        <v>142</v>
      </c>
      <c r="C60" s="31" t="s">
        <v>71</v>
      </c>
      <c r="D60" s="36" t="s">
        <v>244</v>
      </c>
      <c r="E60" s="15" t="s">
        <v>106</v>
      </c>
      <c r="F60" s="16" t="s">
        <v>74</v>
      </c>
      <c r="G60" s="12" t="s">
        <v>106</v>
      </c>
      <c r="H60" s="17" t="s">
        <v>45</v>
      </c>
      <c r="I60" s="18">
        <v>12</v>
      </c>
      <c r="J60" s="65"/>
    </row>
    <row r="61" spans="1:13" ht="30" customHeight="1" x14ac:dyDescent="0.3">
      <c r="A61" s="70">
        <v>46142</v>
      </c>
      <c r="B61" s="30" t="s">
        <v>218</v>
      </c>
      <c r="C61" s="31" t="s">
        <v>239</v>
      </c>
      <c r="D61" s="16" t="s">
        <v>228</v>
      </c>
      <c r="E61" s="15" t="s">
        <v>229</v>
      </c>
      <c r="F61" s="16" t="s">
        <v>171</v>
      </c>
      <c r="G61" s="12" t="s">
        <v>229</v>
      </c>
      <c r="H61" s="17" t="s">
        <v>55</v>
      </c>
      <c r="I61" s="54">
        <v>12</v>
      </c>
      <c r="J61" s="64" t="s">
        <v>41</v>
      </c>
    </row>
    <row r="62" spans="1:13" ht="30" customHeight="1" x14ac:dyDescent="0.3">
      <c r="A62" s="72"/>
      <c r="B62" s="30" t="s">
        <v>218</v>
      </c>
      <c r="C62" s="31" t="s">
        <v>239</v>
      </c>
      <c r="D62" s="36" t="s">
        <v>240</v>
      </c>
      <c r="E62" s="15" t="s">
        <v>108</v>
      </c>
      <c r="F62" s="16" t="s">
        <v>202</v>
      </c>
      <c r="G62" s="12" t="s">
        <v>108</v>
      </c>
      <c r="H62" s="17" t="s">
        <v>55</v>
      </c>
      <c r="I62" s="18">
        <v>10</v>
      </c>
      <c r="J62" s="65"/>
    </row>
    <row r="63" spans="1:13" x14ac:dyDescent="0.3">
      <c r="J63" s="1"/>
      <c r="L63" s="2"/>
      <c r="M63" s="1"/>
    </row>
    <row r="64" spans="1:13" x14ac:dyDescent="0.3">
      <c r="J64" s="1"/>
      <c r="L64" s="2"/>
      <c r="M64" s="1"/>
    </row>
    <row r="65" spans="10:13" x14ac:dyDescent="0.3">
      <c r="J65" s="1"/>
      <c r="L65" s="2"/>
      <c r="M65" s="1"/>
    </row>
    <row r="66" spans="10:13" x14ac:dyDescent="0.3">
      <c r="J66" s="1"/>
      <c r="L66" s="2"/>
      <c r="M66" s="1"/>
    </row>
  </sheetData>
  <mergeCells count="33">
    <mergeCell ref="J27:J28"/>
    <mergeCell ref="A30:A31"/>
    <mergeCell ref="J30:J31"/>
    <mergeCell ref="A1:J1"/>
    <mergeCell ref="A6:A7"/>
    <mergeCell ref="J6:J7"/>
    <mergeCell ref="A61:A62"/>
    <mergeCell ref="J61:J62"/>
    <mergeCell ref="A12:A14"/>
    <mergeCell ref="J12:J14"/>
    <mergeCell ref="J18:J22"/>
    <mergeCell ref="A18:A22"/>
    <mergeCell ref="A16:A17"/>
    <mergeCell ref="J16:J17"/>
    <mergeCell ref="A32:A35"/>
    <mergeCell ref="J32:J35"/>
    <mergeCell ref="A25:A26"/>
    <mergeCell ref="J25:J26"/>
    <mergeCell ref="A27:A28"/>
    <mergeCell ref="A38:A41"/>
    <mergeCell ref="J38:J41"/>
    <mergeCell ref="A42:A45"/>
    <mergeCell ref="J42:J45"/>
    <mergeCell ref="A46:A48"/>
    <mergeCell ref="J46:J48"/>
    <mergeCell ref="A57:A58"/>
    <mergeCell ref="J57:J58"/>
    <mergeCell ref="A59:A60"/>
    <mergeCell ref="J59:J60"/>
    <mergeCell ref="A49:A50"/>
    <mergeCell ref="J49:J50"/>
    <mergeCell ref="A51:A54"/>
    <mergeCell ref="J51:J54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EA26-9236-4695-8B48-1B1194B72A7D}">
  <dimension ref="A1:P50"/>
  <sheetViews>
    <sheetView topLeftCell="C7" zoomScale="65" zoomScaleNormal="65" workbookViewId="0">
      <selection activeCell="D16" sqref="B16:D16"/>
    </sheetView>
  </sheetViews>
  <sheetFormatPr defaultColWidth="9.109375" defaultRowHeight="15.6" x14ac:dyDescent="0.3"/>
  <cols>
    <col min="1" max="1" width="14.44140625" style="44" customWidth="1"/>
    <col min="2" max="2" width="24.44140625" style="45" customWidth="1"/>
    <col min="3" max="3" width="16.88671875" style="45" customWidth="1"/>
    <col min="4" max="4" width="60.44140625" style="45" customWidth="1"/>
    <col min="5" max="5" width="27.109375" style="45" customWidth="1"/>
    <col min="6" max="6" width="26.6640625" style="45" customWidth="1"/>
    <col min="7" max="7" width="25.109375" style="45" customWidth="1"/>
    <col min="8" max="8" width="16.6640625" style="45" customWidth="1"/>
    <col min="9" max="9" width="14.88671875" style="44" customWidth="1"/>
    <col min="10" max="10" width="17.6640625" style="44" customWidth="1"/>
    <col min="11" max="11" width="9.109375" style="1"/>
    <col min="12" max="12" width="9.33203125" style="1" bestFit="1" customWidth="1"/>
    <col min="13" max="13" width="53.5546875" style="2" customWidth="1"/>
    <col min="14" max="14" width="13.33203125" style="1" bestFit="1" customWidth="1"/>
    <col min="15" max="15" width="9.33203125" style="1" bestFit="1" customWidth="1"/>
    <col min="16" max="16" width="10.44140625" style="1" customWidth="1"/>
    <col min="17" max="16384" width="9.109375" style="1"/>
  </cols>
  <sheetData>
    <row r="1" spans="1:16" ht="41.4" customHeight="1" thickBot="1" x14ac:dyDescent="0.35">
      <c r="A1" s="66" t="s">
        <v>167</v>
      </c>
      <c r="B1" s="67"/>
      <c r="C1" s="67"/>
      <c r="D1" s="67"/>
      <c r="E1" s="67"/>
      <c r="F1" s="67"/>
      <c r="G1" s="67"/>
      <c r="H1" s="67"/>
      <c r="I1" s="67"/>
      <c r="J1" s="67"/>
    </row>
    <row r="2" spans="1:16" ht="50.4" customHeight="1" x14ac:dyDescent="0.3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4" t="s">
        <v>7</v>
      </c>
      <c r="I2" s="7" t="s">
        <v>8</v>
      </c>
      <c r="J2" s="8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</row>
    <row r="3" spans="1:16" ht="16.2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L3" s="9"/>
      <c r="M3" s="9"/>
      <c r="N3" s="9"/>
      <c r="O3" s="9"/>
      <c r="P3" s="9"/>
    </row>
    <row r="4" spans="1:16" ht="30" customHeight="1" x14ac:dyDescent="0.3">
      <c r="A4" s="46">
        <v>46083</v>
      </c>
      <c r="B4" s="30"/>
      <c r="C4" s="13"/>
      <c r="D4" s="14"/>
      <c r="E4" s="15"/>
      <c r="F4" s="16"/>
      <c r="G4" s="12"/>
      <c r="H4" s="17"/>
      <c r="I4" s="18"/>
      <c r="J4" s="22" t="s">
        <v>24</v>
      </c>
      <c r="L4" s="9">
        <v>1</v>
      </c>
      <c r="M4" s="14" t="s">
        <v>115</v>
      </c>
      <c r="N4" s="19">
        <v>2</v>
      </c>
      <c r="O4" s="19">
        <v>2</v>
      </c>
      <c r="P4" s="19">
        <f>N4-O4</f>
        <v>0</v>
      </c>
    </row>
    <row r="5" spans="1:16" ht="30" customHeight="1" x14ac:dyDescent="0.3">
      <c r="A5" s="46">
        <v>46084</v>
      </c>
      <c r="B5" s="30"/>
      <c r="C5" s="13"/>
      <c r="D5" s="14"/>
      <c r="E5" s="15"/>
      <c r="F5" s="16"/>
      <c r="G5" s="12"/>
      <c r="H5" s="17"/>
      <c r="I5" s="18"/>
      <c r="J5" s="22" t="s">
        <v>29</v>
      </c>
      <c r="L5" s="9">
        <v>2</v>
      </c>
      <c r="M5" s="14" t="s">
        <v>116</v>
      </c>
      <c r="N5" s="19">
        <v>1</v>
      </c>
      <c r="O5" s="19">
        <v>1</v>
      </c>
      <c r="P5" s="19">
        <f t="shared" ref="P5:P21" si="0">N5-O5</f>
        <v>0</v>
      </c>
    </row>
    <row r="6" spans="1:16" ht="30" customHeight="1" x14ac:dyDescent="0.3">
      <c r="A6" s="70">
        <v>46085</v>
      </c>
      <c r="B6" s="30" t="s">
        <v>51</v>
      </c>
      <c r="C6" s="13" t="s">
        <v>53</v>
      </c>
      <c r="D6" s="14" t="s">
        <v>115</v>
      </c>
      <c r="E6" s="15" t="s">
        <v>58</v>
      </c>
      <c r="F6" s="16" t="s">
        <v>79</v>
      </c>
      <c r="G6" s="12" t="s">
        <v>58</v>
      </c>
      <c r="H6" s="17" t="s">
        <v>55</v>
      </c>
      <c r="I6" s="18">
        <v>6</v>
      </c>
      <c r="J6" s="64" t="s">
        <v>39</v>
      </c>
      <c r="L6" s="9">
        <v>3</v>
      </c>
      <c r="M6" s="14" t="s">
        <v>114</v>
      </c>
      <c r="N6" s="19">
        <v>3</v>
      </c>
      <c r="O6" s="19">
        <v>3</v>
      </c>
      <c r="P6" s="19">
        <f t="shared" si="0"/>
        <v>0</v>
      </c>
    </row>
    <row r="7" spans="1:16" ht="30" customHeight="1" x14ac:dyDescent="0.3">
      <c r="A7" s="71"/>
      <c r="B7" s="30" t="s">
        <v>47</v>
      </c>
      <c r="C7" s="13" t="s">
        <v>53</v>
      </c>
      <c r="D7" s="14" t="s">
        <v>115</v>
      </c>
      <c r="E7" s="15" t="s">
        <v>58</v>
      </c>
      <c r="F7" s="16" t="s">
        <v>80</v>
      </c>
      <c r="G7" s="12" t="s">
        <v>58</v>
      </c>
      <c r="H7" s="17" t="s">
        <v>55</v>
      </c>
      <c r="I7" s="18">
        <v>7</v>
      </c>
      <c r="J7" s="69"/>
      <c r="L7" s="9">
        <v>4</v>
      </c>
      <c r="M7" s="37" t="s">
        <v>101</v>
      </c>
      <c r="N7" s="19">
        <v>3</v>
      </c>
      <c r="O7" s="19">
        <v>3</v>
      </c>
      <c r="P7" s="19">
        <f t="shared" si="0"/>
        <v>0</v>
      </c>
    </row>
    <row r="8" spans="1:16" ht="30" customHeight="1" x14ac:dyDescent="0.3">
      <c r="A8" s="72"/>
      <c r="B8" s="30" t="s">
        <v>18</v>
      </c>
      <c r="C8" s="13" t="s">
        <v>71</v>
      </c>
      <c r="D8" s="14" t="s">
        <v>116</v>
      </c>
      <c r="E8" s="15" t="s">
        <v>57</v>
      </c>
      <c r="F8" s="16" t="s">
        <v>79</v>
      </c>
      <c r="G8" s="12" t="s">
        <v>57</v>
      </c>
      <c r="H8" s="17" t="s">
        <v>45</v>
      </c>
      <c r="I8" s="18">
        <v>16</v>
      </c>
      <c r="J8" s="65"/>
      <c r="L8" s="9">
        <v>5</v>
      </c>
      <c r="M8" s="14" t="s">
        <v>99</v>
      </c>
      <c r="N8" s="19">
        <v>2</v>
      </c>
      <c r="O8" s="19">
        <v>0</v>
      </c>
      <c r="P8" s="19">
        <f t="shared" si="0"/>
        <v>2</v>
      </c>
    </row>
    <row r="9" spans="1:16" ht="30" customHeight="1" x14ac:dyDescent="0.3">
      <c r="A9" s="70">
        <v>46086</v>
      </c>
      <c r="B9" s="30" t="s">
        <v>47</v>
      </c>
      <c r="C9" s="13" t="s">
        <v>53</v>
      </c>
      <c r="D9" s="14" t="s">
        <v>114</v>
      </c>
      <c r="E9" s="15" t="s">
        <v>54</v>
      </c>
      <c r="F9" s="16" t="s">
        <v>79</v>
      </c>
      <c r="G9" s="12" t="s">
        <v>54</v>
      </c>
      <c r="H9" s="17" t="s">
        <v>55</v>
      </c>
      <c r="I9" s="18">
        <v>9</v>
      </c>
      <c r="J9" s="64" t="s">
        <v>41</v>
      </c>
      <c r="L9" s="9">
        <v>6</v>
      </c>
      <c r="M9" s="36" t="s">
        <v>154</v>
      </c>
      <c r="N9" s="21">
        <v>3</v>
      </c>
      <c r="O9" s="21">
        <v>3</v>
      </c>
      <c r="P9" s="19">
        <f t="shared" si="0"/>
        <v>0</v>
      </c>
    </row>
    <row r="10" spans="1:16" ht="30" customHeight="1" x14ac:dyDescent="0.3">
      <c r="A10" s="72"/>
      <c r="B10" s="30" t="s">
        <v>47</v>
      </c>
      <c r="C10" s="31" t="s">
        <v>71</v>
      </c>
      <c r="D10" s="37" t="s">
        <v>101</v>
      </c>
      <c r="E10" s="32" t="s">
        <v>106</v>
      </c>
      <c r="F10" s="16" t="s">
        <v>74</v>
      </c>
      <c r="G10" s="12" t="s">
        <v>106</v>
      </c>
      <c r="H10" s="17" t="s">
        <v>45</v>
      </c>
      <c r="I10" s="35" t="s">
        <v>107</v>
      </c>
      <c r="J10" s="65"/>
      <c r="L10" s="9">
        <v>7</v>
      </c>
      <c r="M10" s="14" t="s">
        <v>134</v>
      </c>
      <c r="N10" s="21">
        <v>3</v>
      </c>
      <c r="O10" s="21">
        <v>3</v>
      </c>
      <c r="P10" s="19">
        <f t="shared" si="0"/>
        <v>0</v>
      </c>
    </row>
    <row r="11" spans="1:16" ht="30" customHeight="1" x14ac:dyDescent="0.3">
      <c r="A11" s="46">
        <v>46087</v>
      </c>
      <c r="B11" s="30" t="s">
        <v>118</v>
      </c>
      <c r="C11" s="49" t="s">
        <v>71</v>
      </c>
      <c r="D11" s="48" t="s">
        <v>101</v>
      </c>
      <c r="E11" s="15" t="s">
        <v>118</v>
      </c>
      <c r="F11" s="16" t="s">
        <v>74</v>
      </c>
      <c r="G11" s="12" t="s">
        <v>118</v>
      </c>
      <c r="H11" s="17" t="s">
        <v>45</v>
      </c>
      <c r="I11" s="50" t="s">
        <v>117</v>
      </c>
      <c r="J11" s="22" t="s">
        <v>42</v>
      </c>
      <c r="L11" s="9">
        <v>8</v>
      </c>
      <c r="M11" s="14" t="s">
        <v>157</v>
      </c>
      <c r="N11" s="21">
        <v>3</v>
      </c>
      <c r="O11" s="21">
        <v>2</v>
      </c>
      <c r="P11" s="19">
        <f t="shared" si="0"/>
        <v>1</v>
      </c>
    </row>
    <row r="12" spans="1:16" ht="30" customHeight="1" x14ac:dyDescent="0.3">
      <c r="A12" s="70">
        <v>46088</v>
      </c>
      <c r="B12" s="38" t="s">
        <v>51</v>
      </c>
      <c r="C12" s="39" t="s">
        <v>48</v>
      </c>
      <c r="D12" s="40" t="s">
        <v>99</v>
      </c>
      <c r="E12" s="42" t="s">
        <v>76</v>
      </c>
      <c r="F12" s="41" t="s">
        <v>79</v>
      </c>
      <c r="G12" s="42" t="s">
        <v>76</v>
      </c>
      <c r="H12" s="43" t="s">
        <v>45</v>
      </c>
      <c r="I12" s="42" t="s">
        <v>109</v>
      </c>
      <c r="J12" s="64" t="s">
        <v>46</v>
      </c>
      <c r="L12" s="9">
        <v>9</v>
      </c>
      <c r="M12" s="14" t="s">
        <v>144</v>
      </c>
      <c r="N12" s="21">
        <v>1</v>
      </c>
      <c r="O12" s="21">
        <v>1</v>
      </c>
      <c r="P12" s="19">
        <f t="shared" si="0"/>
        <v>0</v>
      </c>
    </row>
    <row r="13" spans="1:16" ht="30" customHeight="1" x14ac:dyDescent="0.3">
      <c r="A13" s="72"/>
      <c r="B13" s="30" t="s">
        <v>47</v>
      </c>
      <c r="C13" s="31" t="s">
        <v>43</v>
      </c>
      <c r="D13" s="36" t="s">
        <v>154</v>
      </c>
      <c r="E13" s="15" t="s">
        <v>21</v>
      </c>
      <c r="F13" s="16" t="s">
        <v>80</v>
      </c>
      <c r="G13" s="12" t="s">
        <v>21</v>
      </c>
      <c r="H13" s="17" t="s">
        <v>45</v>
      </c>
      <c r="I13" s="18">
        <v>15</v>
      </c>
      <c r="J13" s="65"/>
      <c r="L13" s="9">
        <v>10</v>
      </c>
      <c r="M13" s="14" t="s">
        <v>123</v>
      </c>
      <c r="N13" s="21">
        <v>1</v>
      </c>
      <c r="O13" s="21">
        <v>1</v>
      </c>
      <c r="P13" s="19">
        <f t="shared" si="0"/>
        <v>0</v>
      </c>
    </row>
    <row r="14" spans="1:16" ht="30" customHeight="1" x14ac:dyDescent="0.3">
      <c r="A14" s="23"/>
      <c r="B14" s="24"/>
      <c r="C14" s="25"/>
      <c r="D14" s="26"/>
      <c r="E14" s="24"/>
      <c r="F14" s="26"/>
      <c r="G14" s="24"/>
      <c r="H14" s="24"/>
      <c r="I14" s="24"/>
      <c r="J14" s="27"/>
      <c r="L14" s="9">
        <v>11</v>
      </c>
      <c r="M14" s="14" t="s">
        <v>166</v>
      </c>
      <c r="N14" s="21">
        <v>2</v>
      </c>
      <c r="O14" s="21">
        <v>2</v>
      </c>
      <c r="P14" s="19">
        <f t="shared" si="0"/>
        <v>0</v>
      </c>
    </row>
    <row r="15" spans="1:16" ht="30" customHeight="1" x14ac:dyDescent="0.3">
      <c r="A15" s="46">
        <v>46090</v>
      </c>
      <c r="B15" s="30"/>
      <c r="C15" s="31"/>
      <c r="D15" s="14"/>
      <c r="E15" s="32"/>
      <c r="F15" s="16"/>
      <c r="G15" s="12"/>
      <c r="H15" s="17"/>
      <c r="I15" s="18"/>
      <c r="J15" s="22" t="s">
        <v>24</v>
      </c>
      <c r="L15" s="9">
        <v>12</v>
      </c>
      <c r="M15" s="28" t="s">
        <v>135</v>
      </c>
      <c r="N15" s="21">
        <v>1</v>
      </c>
      <c r="O15" s="21">
        <v>1</v>
      </c>
      <c r="P15" s="19">
        <f t="shared" si="0"/>
        <v>0</v>
      </c>
    </row>
    <row r="16" spans="1:16" ht="30" customHeight="1" x14ac:dyDescent="0.3">
      <c r="A16" s="46">
        <v>46091</v>
      </c>
      <c r="B16" s="30" t="s">
        <v>47</v>
      </c>
      <c r="C16" s="13" t="s">
        <v>121</v>
      </c>
      <c r="D16" s="14" t="s">
        <v>134</v>
      </c>
      <c r="E16" s="32" t="s">
        <v>119</v>
      </c>
      <c r="F16" s="16" t="s">
        <v>122</v>
      </c>
      <c r="G16" s="12" t="s">
        <v>119</v>
      </c>
      <c r="H16" s="17" t="s">
        <v>55</v>
      </c>
      <c r="I16" s="18">
        <v>8</v>
      </c>
      <c r="J16" s="22" t="s">
        <v>29</v>
      </c>
      <c r="L16" s="9">
        <v>13</v>
      </c>
      <c r="M16" s="28" t="s">
        <v>145</v>
      </c>
      <c r="N16" s="21">
        <v>1</v>
      </c>
      <c r="O16" s="21">
        <v>0</v>
      </c>
      <c r="P16" s="19">
        <f t="shared" si="0"/>
        <v>1</v>
      </c>
    </row>
    <row r="17" spans="1:16" ht="30" customHeight="1" x14ac:dyDescent="0.3">
      <c r="A17" s="70">
        <v>46092</v>
      </c>
      <c r="B17" s="30" t="s">
        <v>18</v>
      </c>
      <c r="C17" s="13" t="s">
        <v>121</v>
      </c>
      <c r="D17" s="14" t="s">
        <v>134</v>
      </c>
      <c r="E17" s="15" t="s">
        <v>120</v>
      </c>
      <c r="F17" s="16" t="s">
        <v>122</v>
      </c>
      <c r="G17" s="12" t="s">
        <v>120</v>
      </c>
      <c r="H17" s="17" t="s">
        <v>55</v>
      </c>
      <c r="I17" s="18">
        <v>12</v>
      </c>
      <c r="J17" s="64" t="s">
        <v>39</v>
      </c>
      <c r="L17" s="9">
        <v>14</v>
      </c>
      <c r="M17" s="28" t="s">
        <v>147</v>
      </c>
      <c r="N17" s="21">
        <v>1</v>
      </c>
      <c r="O17" s="21">
        <v>1</v>
      </c>
      <c r="P17" s="19">
        <f t="shared" si="0"/>
        <v>0</v>
      </c>
    </row>
    <row r="18" spans="1:16" ht="30" customHeight="1" x14ac:dyDescent="0.3">
      <c r="A18" s="72"/>
      <c r="B18" s="30" t="s">
        <v>51</v>
      </c>
      <c r="C18" s="13" t="s">
        <v>125</v>
      </c>
      <c r="D18" s="14" t="s">
        <v>157</v>
      </c>
      <c r="E18" s="15" t="s">
        <v>124</v>
      </c>
      <c r="F18" s="16" t="s">
        <v>74</v>
      </c>
      <c r="G18" s="12" t="s">
        <v>124</v>
      </c>
      <c r="H18" s="17" t="s">
        <v>23</v>
      </c>
      <c r="I18" s="18">
        <v>8</v>
      </c>
      <c r="J18" s="65"/>
      <c r="L18" s="9">
        <v>15</v>
      </c>
      <c r="M18" s="14" t="s">
        <v>158</v>
      </c>
      <c r="N18" s="21">
        <v>1</v>
      </c>
      <c r="O18" s="21">
        <v>1</v>
      </c>
      <c r="P18" s="19">
        <f t="shared" si="0"/>
        <v>0</v>
      </c>
    </row>
    <row r="19" spans="1:16" ht="30" customHeight="1" x14ac:dyDescent="0.3">
      <c r="A19" s="70">
        <v>46093</v>
      </c>
      <c r="B19" s="30" t="s">
        <v>47</v>
      </c>
      <c r="C19" s="13" t="s">
        <v>53</v>
      </c>
      <c r="D19" s="14" t="s">
        <v>114</v>
      </c>
      <c r="E19" s="15" t="s">
        <v>54</v>
      </c>
      <c r="F19" s="16" t="s">
        <v>79</v>
      </c>
      <c r="G19" s="12" t="s">
        <v>54</v>
      </c>
      <c r="H19" s="17" t="s">
        <v>55</v>
      </c>
      <c r="I19" s="18">
        <v>12</v>
      </c>
      <c r="J19" s="64" t="s">
        <v>41</v>
      </c>
      <c r="L19" s="9">
        <v>16</v>
      </c>
      <c r="M19" s="14" t="s">
        <v>159</v>
      </c>
      <c r="N19" s="21">
        <v>1</v>
      </c>
      <c r="O19" s="21">
        <v>1</v>
      </c>
      <c r="P19" s="19">
        <f t="shared" si="0"/>
        <v>0</v>
      </c>
    </row>
    <row r="20" spans="1:16" ht="30" customHeight="1" x14ac:dyDescent="0.3">
      <c r="A20" s="71"/>
      <c r="B20" s="30" t="s">
        <v>51</v>
      </c>
      <c r="C20" s="13" t="s">
        <v>125</v>
      </c>
      <c r="D20" s="14" t="s">
        <v>157</v>
      </c>
      <c r="E20" s="15" t="s">
        <v>124</v>
      </c>
      <c r="F20" s="16" t="s">
        <v>74</v>
      </c>
      <c r="G20" s="12" t="s">
        <v>124</v>
      </c>
      <c r="H20" s="17" t="s">
        <v>23</v>
      </c>
      <c r="I20" s="18">
        <v>8</v>
      </c>
      <c r="J20" s="65"/>
      <c r="L20" s="9">
        <v>17</v>
      </c>
      <c r="M20" s="14" t="s">
        <v>153</v>
      </c>
      <c r="N20" s="21">
        <v>1</v>
      </c>
      <c r="O20" s="21">
        <v>1</v>
      </c>
      <c r="P20" s="19">
        <f t="shared" si="0"/>
        <v>0</v>
      </c>
    </row>
    <row r="21" spans="1:16" ht="30" customHeight="1" x14ac:dyDescent="0.3">
      <c r="A21" s="46">
        <v>46094</v>
      </c>
      <c r="B21" s="30" t="s">
        <v>51</v>
      </c>
      <c r="C21" s="31" t="s">
        <v>125</v>
      </c>
      <c r="D21" s="14" t="s">
        <v>123</v>
      </c>
      <c r="E21" s="32" t="s">
        <v>124</v>
      </c>
      <c r="F21" s="16" t="s">
        <v>74</v>
      </c>
      <c r="G21" s="12" t="s">
        <v>124</v>
      </c>
      <c r="H21" s="17" t="s">
        <v>23</v>
      </c>
      <c r="I21" s="35" t="s">
        <v>126</v>
      </c>
      <c r="J21" s="22" t="s">
        <v>42</v>
      </c>
      <c r="L21" s="9">
        <v>18</v>
      </c>
      <c r="M21" s="36" t="s">
        <v>156</v>
      </c>
      <c r="N21" s="21">
        <v>1</v>
      </c>
      <c r="O21" s="21">
        <v>1</v>
      </c>
      <c r="P21" s="19">
        <f t="shared" si="0"/>
        <v>0</v>
      </c>
    </row>
    <row r="22" spans="1:16" ht="30" customHeight="1" x14ac:dyDescent="0.3">
      <c r="A22" s="70">
        <v>46095</v>
      </c>
      <c r="B22" s="30" t="s">
        <v>47</v>
      </c>
      <c r="C22" s="31" t="s">
        <v>43</v>
      </c>
      <c r="D22" s="36" t="s">
        <v>154</v>
      </c>
      <c r="E22" s="15" t="s">
        <v>21</v>
      </c>
      <c r="F22" s="16" t="s">
        <v>80</v>
      </c>
      <c r="G22" s="12" t="s">
        <v>21</v>
      </c>
      <c r="H22" s="17" t="s">
        <v>45</v>
      </c>
      <c r="I22" s="18">
        <v>15</v>
      </c>
      <c r="J22" s="64" t="s">
        <v>46</v>
      </c>
      <c r="M22" s="1"/>
      <c r="N22" s="1">
        <f>SUM(N4:N21)</f>
        <v>31</v>
      </c>
      <c r="O22" s="1">
        <f>SUM(O4:O21)</f>
        <v>27</v>
      </c>
      <c r="P22" s="1">
        <f>SUM(P4:P21)</f>
        <v>4</v>
      </c>
    </row>
    <row r="23" spans="1:16" ht="30" customHeight="1" x14ac:dyDescent="0.3">
      <c r="A23" s="71"/>
      <c r="B23" s="30" t="s">
        <v>18</v>
      </c>
      <c r="C23" s="31" t="s">
        <v>137</v>
      </c>
      <c r="D23" s="14" t="s">
        <v>135</v>
      </c>
      <c r="E23" s="32" t="s">
        <v>21</v>
      </c>
      <c r="F23" s="16" t="s">
        <v>136</v>
      </c>
      <c r="G23" s="12" t="s">
        <v>21</v>
      </c>
      <c r="H23" s="17" t="s">
        <v>45</v>
      </c>
      <c r="I23" s="35"/>
      <c r="J23" s="69"/>
      <c r="M23" s="1"/>
    </row>
    <row r="24" spans="1:16" ht="30" customHeight="1" x14ac:dyDescent="0.3">
      <c r="A24" s="72"/>
      <c r="B24" s="38" t="s">
        <v>51</v>
      </c>
      <c r="C24" s="39" t="s">
        <v>48</v>
      </c>
      <c r="D24" s="40" t="s">
        <v>99</v>
      </c>
      <c r="E24" s="42" t="s">
        <v>76</v>
      </c>
      <c r="F24" s="41" t="s">
        <v>79</v>
      </c>
      <c r="G24" s="42" t="s">
        <v>76</v>
      </c>
      <c r="H24" s="43" t="s">
        <v>45</v>
      </c>
      <c r="I24" s="42" t="s">
        <v>109</v>
      </c>
      <c r="J24" s="65"/>
      <c r="M24" s="1"/>
    </row>
    <row r="25" spans="1:16" ht="30" customHeight="1" x14ac:dyDescent="0.3">
      <c r="A25" s="23"/>
      <c r="B25" s="24"/>
      <c r="C25" s="25"/>
      <c r="D25" s="26"/>
      <c r="E25" s="24"/>
      <c r="F25" s="26"/>
      <c r="G25" s="24"/>
      <c r="H25" s="24"/>
      <c r="I25" s="24"/>
      <c r="J25" s="24"/>
      <c r="M25" s="1"/>
    </row>
    <row r="26" spans="1:16" ht="30" customHeight="1" x14ac:dyDescent="0.3">
      <c r="A26" s="46">
        <v>46097</v>
      </c>
      <c r="B26" s="30" t="s">
        <v>47</v>
      </c>
      <c r="C26" s="31" t="s">
        <v>71</v>
      </c>
      <c r="D26" s="37" t="s">
        <v>101</v>
      </c>
      <c r="E26" s="32" t="s">
        <v>138</v>
      </c>
      <c r="F26" s="16" t="s">
        <v>74</v>
      </c>
      <c r="G26" s="12" t="s">
        <v>138</v>
      </c>
      <c r="H26" s="17" t="s">
        <v>139</v>
      </c>
      <c r="I26" s="18">
        <v>14</v>
      </c>
      <c r="J26" s="22" t="s">
        <v>24</v>
      </c>
    </row>
    <row r="27" spans="1:16" ht="30" customHeight="1" x14ac:dyDescent="0.3">
      <c r="A27" s="46">
        <v>46098</v>
      </c>
      <c r="B27" s="38" t="s">
        <v>47</v>
      </c>
      <c r="C27" s="39" t="s">
        <v>125</v>
      </c>
      <c r="D27" s="51" t="s">
        <v>157</v>
      </c>
      <c r="E27" s="38" t="s">
        <v>140</v>
      </c>
      <c r="F27" s="41" t="s">
        <v>74</v>
      </c>
      <c r="G27" s="42" t="s">
        <v>140</v>
      </c>
      <c r="H27" s="43" t="s">
        <v>139</v>
      </c>
      <c r="I27" s="42">
        <v>10</v>
      </c>
      <c r="J27" s="22" t="s">
        <v>29</v>
      </c>
    </row>
    <row r="28" spans="1:16" ht="30" customHeight="1" x14ac:dyDescent="0.3">
      <c r="A28" s="70">
        <v>46099</v>
      </c>
      <c r="B28" s="30" t="s">
        <v>142</v>
      </c>
      <c r="C28" s="13" t="s">
        <v>121</v>
      </c>
      <c r="D28" s="14" t="s">
        <v>72</v>
      </c>
      <c r="E28" s="15" t="s">
        <v>143</v>
      </c>
      <c r="F28" s="16" t="s">
        <v>141</v>
      </c>
      <c r="G28" s="12" t="s">
        <v>143</v>
      </c>
      <c r="H28" s="17" t="s">
        <v>55</v>
      </c>
      <c r="I28" s="18">
        <v>12</v>
      </c>
      <c r="J28" s="64" t="s">
        <v>39</v>
      </c>
    </row>
    <row r="29" spans="1:16" ht="30" customHeight="1" x14ac:dyDescent="0.3">
      <c r="A29" s="72"/>
      <c r="B29" s="30" t="s">
        <v>51</v>
      </c>
      <c r="C29" s="13" t="s">
        <v>121</v>
      </c>
      <c r="D29" s="14" t="s">
        <v>144</v>
      </c>
      <c r="E29" s="15" t="s">
        <v>108</v>
      </c>
      <c r="F29" s="16" t="s">
        <v>74</v>
      </c>
      <c r="G29" s="12" t="s">
        <v>108</v>
      </c>
      <c r="H29" s="17" t="s">
        <v>55</v>
      </c>
      <c r="I29" s="18">
        <v>9</v>
      </c>
      <c r="J29" s="65"/>
    </row>
    <row r="30" spans="1:16" ht="30" customHeight="1" x14ac:dyDescent="0.3">
      <c r="A30" s="46">
        <v>46100</v>
      </c>
      <c r="B30" s="38" t="s">
        <v>142</v>
      </c>
      <c r="C30" s="39" t="s">
        <v>53</v>
      </c>
      <c r="D30" s="41" t="s">
        <v>145</v>
      </c>
      <c r="E30" s="42" t="s">
        <v>21</v>
      </c>
      <c r="F30" s="41" t="s">
        <v>146</v>
      </c>
      <c r="G30" s="42" t="s">
        <v>21</v>
      </c>
      <c r="H30" s="43"/>
      <c r="I30" s="42">
        <v>15</v>
      </c>
      <c r="J30" s="22" t="s">
        <v>41</v>
      </c>
    </row>
    <row r="31" spans="1:16" ht="30" customHeight="1" x14ac:dyDescent="0.3">
      <c r="A31" s="46">
        <v>46101</v>
      </c>
      <c r="B31" s="30"/>
      <c r="C31" s="31"/>
      <c r="D31" s="14"/>
      <c r="E31" s="15"/>
      <c r="F31" s="16"/>
      <c r="G31" s="12"/>
      <c r="H31" s="17"/>
      <c r="I31" s="18"/>
      <c r="J31" s="22" t="s">
        <v>42</v>
      </c>
    </row>
    <row r="32" spans="1:16" ht="30" customHeight="1" x14ac:dyDescent="0.3">
      <c r="A32" s="46">
        <v>46102</v>
      </c>
      <c r="B32" s="12"/>
      <c r="C32" s="13"/>
      <c r="D32" s="14"/>
      <c r="E32" s="15"/>
      <c r="F32" s="16"/>
      <c r="G32" s="12"/>
      <c r="H32" s="17"/>
      <c r="I32" s="35"/>
      <c r="J32" s="22" t="s">
        <v>46</v>
      </c>
    </row>
    <row r="33" spans="1:13" ht="30" customHeight="1" x14ac:dyDescent="0.3">
      <c r="A33" s="23"/>
      <c r="B33" s="24"/>
      <c r="C33" s="25"/>
      <c r="D33" s="26"/>
      <c r="E33" s="24"/>
      <c r="F33" s="26"/>
      <c r="G33" s="24"/>
      <c r="H33" s="24"/>
      <c r="I33" s="24"/>
      <c r="J33" s="24"/>
    </row>
    <row r="34" spans="1:13" ht="30" customHeight="1" x14ac:dyDescent="0.3">
      <c r="A34" s="46">
        <v>46104</v>
      </c>
      <c r="B34" s="30"/>
      <c r="C34" s="31"/>
      <c r="D34" s="37" t="s">
        <v>139</v>
      </c>
      <c r="E34" s="32"/>
      <c r="F34" s="16"/>
      <c r="G34" s="12"/>
      <c r="H34" s="17"/>
      <c r="I34" s="18"/>
      <c r="J34" s="22" t="s">
        <v>24</v>
      </c>
    </row>
    <row r="35" spans="1:13" ht="30" customHeight="1" x14ac:dyDescent="0.3">
      <c r="A35" s="46">
        <v>46105</v>
      </c>
      <c r="B35" s="30"/>
      <c r="C35" s="13"/>
      <c r="D35" s="14" t="s">
        <v>139</v>
      </c>
      <c r="E35" s="15"/>
      <c r="F35" s="16"/>
      <c r="G35" s="12"/>
      <c r="H35" s="17"/>
      <c r="I35" s="18"/>
      <c r="J35" s="22" t="s">
        <v>29</v>
      </c>
    </row>
    <row r="36" spans="1:13" ht="30" customHeight="1" x14ac:dyDescent="0.3">
      <c r="A36" s="46">
        <v>46106</v>
      </c>
      <c r="B36" s="30"/>
      <c r="C36" s="13"/>
      <c r="D36" s="14" t="s">
        <v>139</v>
      </c>
      <c r="E36" s="15"/>
      <c r="F36" s="16"/>
      <c r="G36" s="12"/>
      <c r="H36" s="17"/>
      <c r="I36" s="18"/>
      <c r="J36" s="22" t="s">
        <v>39</v>
      </c>
    </row>
    <row r="37" spans="1:13" ht="30" customHeight="1" x14ac:dyDescent="0.3">
      <c r="A37" s="70">
        <v>46107</v>
      </c>
      <c r="B37" s="30" t="s">
        <v>47</v>
      </c>
      <c r="C37" s="13" t="s">
        <v>53</v>
      </c>
      <c r="D37" s="14" t="s">
        <v>114</v>
      </c>
      <c r="E37" s="15" t="s">
        <v>54</v>
      </c>
      <c r="F37" s="16" t="s">
        <v>79</v>
      </c>
      <c r="G37" s="12" t="s">
        <v>54</v>
      </c>
      <c r="H37" s="17" t="s">
        <v>55</v>
      </c>
      <c r="I37" s="18">
        <v>12</v>
      </c>
      <c r="J37" s="64" t="s">
        <v>41</v>
      </c>
    </row>
    <row r="38" spans="1:13" ht="30" customHeight="1" x14ac:dyDescent="0.3">
      <c r="A38" s="72"/>
      <c r="B38" s="30" t="s">
        <v>150</v>
      </c>
      <c r="C38" s="31" t="s">
        <v>149</v>
      </c>
      <c r="D38" s="14" t="s">
        <v>147</v>
      </c>
      <c r="E38" s="15" t="s">
        <v>21</v>
      </c>
      <c r="F38" s="16" t="s">
        <v>22</v>
      </c>
      <c r="G38" s="12" t="s">
        <v>21</v>
      </c>
      <c r="H38" s="17" t="s">
        <v>148</v>
      </c>
      <c r="I38" s="18">
        <v>18</v>
      </c>
      <c r="J38" s="65"/>
    </row>
    <row r="39" spans="1:13" ht="30" customHeight="1" x14ac:dyDescent="0.3">
      <c r="A39" s="70">
        <v>46108</v>
      </c>
      <c r="B39" s="30" t="s">
        <v>163</v>
      </c>
      <c r="C39" s="13" t="s">
        <v>161</v>
      </c>
      <c r="D39" s="14" t="s">
        <v>160</v>
      </c>
      <c r="E39" s="15" t="s">
        <v>66</v>
      </c>
      <c r="F39" s="16" t="s">
        <v>162</v>
      </c>
      <c r="G39" s="12" t="s">
        <v>66</v>
      </c>
      <c r="H39" s="17" t="s">
        <v>139</v>
      </c>
      <c r="I39" s="18">
        <v>27</v>
      </c>
      <c r="J39" s="64" t="s">
        <v>42</v>
      </c>
    </row>
    <row r="40" spans="1:13" ht="30" customHeight="1" x14ac:dyDescent="0.3">
      <c r="A40" s="71"/>
      <c r="B40" s="30" t="s">
        <v>18</v>
      </c>
      <c r="C40" s="31" t="s">
        <v>149</v>
      </c>
      <c r="D40" s="14" t="s">
        <v>151</v>
      </c>
      <c r="E40" s="15" t="s">
        <v>21</v>
      </c>
      <c r="F40" s="16" t="s">
        <v>22</v>
      </c>
      <c r="G40" s="12" t="s">
        <v>21</v>
      </c>
      <c r="H40" s="17" t="s">
        <v>148</v>
      </c>
      <c r="I40" s="18">
        <v>15</v>
      </c>
      <c r="J40" s="69"/>
    </row>
    <row r="41" spans="1:13" ht="30" customHeight="1" x14ac:dyDescent="0.3">
      <c r="A41" s="72"/>
      <c r="B41" s="30" t="s">
        <v>142</v>
      </c>
      <c r="C41" s="31" t="s">
        <v>149</v>
      </c>
      <c r="D41" s="14" t="s">
        <v>151</v>
      </c>
      <c r="E41" s="15" t="s">
        <v>21</v>
      </c>
      <c r="F41" s="16" t="s">
        <v>22</v>
      </c>
      <c r="G41" s="12" t="s">
        <v>21</v>
      </c>
      <c r="H41" s="17" t="s">
        <v>152</v>
      </c>
      <c r="I41" s="18">
        <v>11</v>
      </c>
      <c r="J41" s="65"/>
    </row>
    <row r="42" spans="1:13" ht="30" customHeight="1" x14ac:dyDescent="0.3">
      <c r="A42" s="70">
        <v>46109</v>
      </c>
      <c r="B42" s="30" t="s">
        <v>47</v>
      </c>
      <c r="C42" s="31" t="s">
        <v>43</v>
      </c>
      <c r="D42" s="36" t="s">
        <v>154</v>
      </c>
      <c r="E42" s="15" t="s">
        <v>21</v>
      </c>
      <c r="F42" s="16" t="s">
        <v>80</v>
      </c>
      <c r="G42" s="12" t="s">
        <v>21</v>
      </c>
      <c r="H42" s="17" t="s">
        <v>45</v>
      </c>
      <c r="I42" s="18">
        <v>15</v>
      </c>
      <c r="J42" s="64" t="s">
        <v>46</v>
      </c>
    </row>
    <row r="43" spans="1:13" ht="30" customHeight="1" x14ac:dyDescent="0.3">
      <c r="A43" s="72"/>
      <c r="B43" s="30" t="s">
        <v>18</v>
      </c>
      <c r="C43" s="13" t="s">
        <v>43</v>
      </c>
      <c r="D43" s="14" t="s">
        <v>153</v>
      </c>
      <c r="E43" s="32" t="s">
        <v>21</v>
      </c>
      <c r="F43" s="16" t="s">
        <v>22</v>
      </c>
      <c r="G43" s="12" t="s">
        <v>21</v>
      </c>
      <c r="H43" s="17" t="s">
        <v>45</v>
      </c>
      <c r="I43" s="35" t="s">
        <v>165</v>
      </c>
      <c r="J43" s="65"/>
    </row>
    <row r="44" spans="1:13" ht="30" customHeight="1" x14ac:dyDescent="0.3">
      <c r="A44" s="23"/>
      <c r="B44" s="24"/>
      <c r="C44" s="25"/>
      <c r="D44" s="26"/>
      <c r="E44" s="24"/>
      <c r="F44" s="26"/>
      <c r="G44" s="24"/>
      <c r="H44" s="24"/>
      <c r="I44" s="24"/>
      <c r="J44" s="24"/>
    </row>
    <row r="45" spans="1:13" ht="30" customHeight="1" x14ac:dyDescent="0.3">
      <c r="A45" s="46">
        <v>46111</v>
      </c>
      <c r="B45" s="30" t="s">
        <v>164</v>
      </c>
      <c r="C45" s="13" t="s">
        <v>161</v>
      </c>
      <c r="D45" s="14" t="s">
        <v>160</v>
      </c>
      <c r="E45" s="15" t="s">
        <v>66</v>
      </c>
      <c r="F45" s="16" t="s">
        <v>162</v>
      </c>
      <c r="G45" s="12" t="s">
        <v>66</v>
      </c>
      <c r="H45" s="17" t="s">
        <v>139</v>
      </c>
      <c r="I45" s="18">
        <v>21</v>
      </c>
      <c r="J45" s="22" t="s">
        <v>24</v>
      </c>
    </row>
    <row r="46" spans="1:13" ht="30" customHeight="1" x14ac:dyDescent="0.3">
      <c r="A46" s="46">
        <v>46112</v>
      </c>
      <c r="B46" s="30" t="s">
        <v>142</v>
      </c>
      <c r="C46" s="31" t="s">
        <v>155</v>
      </c>
      <c r="D46" s="36" t="s">
        <v>156</v>
      </c>
      <c r="E46" s="15" t="s">
        <v>57</v>
      </c>
      <c r="F46" s="16" t="s">
        <v>79</v>
      </c>
      <c r="G46" s="12" t="s">
        <v>57</v>
      </c>
      <c r="H46" s="17" t="s">
        <v>55</v>
      </c>
      <c r="I46" s="18">
        <v>12</v>
      </c>
      <c r="J46" s="22" t="s">
        <v>29</v>
      </c>
    </row>
    <row r="47" spans="1:13" x14ac:dyDescent="0.3">
      <c r="J47" s="1"/>
      <c r="L47" s="2"/>
      <c r="M47" s="1"/>
    </row>
    <row r="48" spans="1:13" x14ac:dyDescent="0.3">
      <c r="J48" s="1"/>
      <c r="L48" s="2"/>
      <c r="M48" s="1"/>
    </row>
    <row r="49" spans="10:13" x14ac:dyDescent="0.3">
      <c r="J49" s="1"/>
      <c r="L49" s="2"/>
      <c r="M49" s="1"/>
    </row>
    <row r="50" spans="10:13" x14ac:dyDescent="0.3">
      <c r="J50" s="1"/>
      <c r="L50" s="2"/>
      <c r="M50" s="1"/>
    </row>
  </sheetData>
  <mergeCells count="21">
    <mergeCell ref="A1:J1"/>
    <mergeCell ref="A19:A20"/>
    <mergeCell ref="J19:J20"/>
    <mergeCell ref="A6:A8"/>
    <mergeCell ref="J6:J8"/>
    <mergeCell ref="A9:A10"/>
    <mergeCell ref="J9:J10"/>
    <mergeCell ref="A12:A13"/>
    <mergeCell ref="J12:J13"/>
    <mergeCell ref="J17:J18"/>
    <mergeCell ref="A17:A18"/>
    <mergeCell ref="A22:A24"/>
    <mergeCell ref="J22:J24"/>
    <mergeCell ref="A39:A41"/>
    <mergeCell ref="J39:J41"/>
    <mergeCell ref="J42:J43"/>
    <mergeCell ref="A42:A43"/>
    <mergeCell ref="A37:A38"/>
    <mergeCell ref="J37:J38"/>
    <mergeCell ref="A28:A29"/>
    <mergeCell ref="J28:J29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73A9-923A-4908-91EF-8464FFC138CC}">
  <dimension ref="A1:P48"/>
  <sheetViews>
    <sheetView topLeftCell="A7" zoomScale="56" zoomScaleNormal="56" workbookViewId="0">
      <selection activeCell="H42" sqref="H42"/>
    </sheetView>
  </sheetViews>
  <sheetFormatPr defaultColWidth="9.109375" defaultRowHeight="15.6" x14ac:dyDescent="0.3"/>
  <cols>
    <col min="1" max="1" width="14.44140625" style="44" customWidth="1"/>
    <col min="2" max="2" width="24.44140625" style="45" customWidth="1"/>
    <col min="3" max="3" width="16.88671875" style="45" customWidth="1"/>
    <col min="4" max="4" width="60.44140625" style="45" customWidth="1"/>
    <col min="5" max="5" width="27.109375" style="45" customWidth="1"/>
    <col min="6" max="6" width="26.6640625" style="45" customWidth="1"/>
    <col min="7" max="7" width="25.109375" style="45" customWidth="1"/>
    <col min="8" max="8" width="16.6640625" style="45" customWidth="1"/>
    <col min="9" max="9" width="14.88671875" style="44" customWidth="1"/>
    <col min="10" max="10" width="17.6640625" style="44" customWidth="1"/>
    <col min="11" max="11" width="9.109375" style="1"/>
    <col min="12" max="12" width="9.33203125" style="1" bestFit="1" customWidth="1"/>
    <col min="13" max="13" width="53.5546875" style="2" customWidth="1"/>
    <col min="14" max="14" width="13.33203125" style="1" bestFit="1" customWidth="1"/>
    <col min="15" max="15" width="9.33203125" style="1" bestFit="1" customWidth="1"/>
    <col min="16" max="16" width="10.44140625" style="1" customWidth="1"/>
    <col min="17" max="16384" width="9.109375" style="1"/>
  </cols>
  <sheetData>
    <row r="1" spans="1:16" ht="41.4" customHeight="1" thickBot="1" x14ac:dyDescent="0.35">
      <c r="A1" s="66" t="s">
        <v>168</v>
      </c>
      <c r="B1" s="67"/>
      <c r="C1" s="67"/>
      <c r="D1" s="67"/>
      <c r="E1" s="67"/>
      <c r="F1" s="67"/>
      <c r="G1" s="67"/>
      <c r="H1" s="67"/>
      <c r="I1" s="67"/>
      <c r="J1" s="67"/>
    </row>
    <row r="2" spans="1:16" ht="50.4" customHeight="1" x14ac:dyDescent="0.3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4" t="s">
        <v>7</v>
      </c>
      <c r="I2" s="7" t="s">
        <v>8</v>
      </c>
      <c r="J2" s="8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</row>
    <row r="3" spans="1:16" ht="16.2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L3" s="9"/>
      <c r="M3" s="9"/>
      <c r="N3" s="9"/>
      <c r="O3" s="9"/>
      <c r="P3" s="9"/>
    </row>
    <row r="4" spans="1:16" ht="30" customHeight="1" x14ac:dyDescent="0.3">
      <c r="A4" s="46">
        <v>46055</v>
      </c>
      <c r="B4" s="30"/>
      <c r="C4" s="13"/>
      <c r="D4" s="14"/>
      <c r="E4" s="15"/>
      <c r="F4" s="16"/>
      <c r="G4" s="12"/>
      <c r="H4" s="17"/>
      <c r="I4" s="18"/>
      <c r="J4" s="22" t="s">
        <v>24</v>
      </c>
      <c r="L4" s="9">
        <v>1</v>
      </c>
      <c r="M4" s="14" t="s">
        <v>78</v>
      </c>
      <c r="N4" s="19">
        <v>8</v>
      </c>
      <c r="O4" s="19">
        <v>8</v>
      </c>
      <c r="P4" s="19">
        <f>N4-O4</f>
        <v>0</v>
      </c>
    </row>
    <row r="5" spans="1:16" ht="30" customHeight="1" x14ac:dyDescent="0.3">
      <c r="A5" s="46">
        <v>46056</v>
      </c>
      <c r="B5" s="30"/>
      <c r="C5" s="13"/>
      <c r="D5" s="14"/>
      <c r="E5" s="15"/>
      <c r="F5" s="16"/>
      <c r="G5" s="12"/>
      <c r="H5" s="17"/>
      <c r="I5" s="18"/>
      <c r="J5" s="22" t="s">
        <v>29</v>
      </c>
      <c r="L5" s="9">
        <v>2</v>
      </c>
      <c r="M5" s="14" t="s">
        <v>81</v>
      </c>
      <c r="N5" s="19">
        <v>2</v>
      </c>
      <c r="O5" s="19">
        <v>2</v>
      </c>
      <c r="P5" s="19">
        <f t="shared" ref="P5:P19" si="0">N5-O5</f>
        <v>0</v>
      </c>
    </row>
    <row r="6" spans="1:16" ht="30" customHeight="1" x14ac:dyDescent="0.3">
      <c r="A6" s="70">
        <v>46057</v>
      </c>
      <c r="B6" s="30" t="s">
        <v>51</v>
      </c>
      <c r="C6" s="13" t="s">
        <v>53</v>
      </c>
      <c r="D6" s="14" t="s">
        <v>78</v>
      </c>
      <c r="E6" s="15" t="s">
        <v>58</v>
      </c>
      <c r="F6" s="16" t="s">
        <v>79</v>
      </c>
      <c r="G6" s="12" t="s">
        <v>58</v>
      </c>
      <c r="H6" s="17" t="s">
        <v>55</v>
      </c>
      <c r="I6" s="18">
        <v>6</v>
      </c>
      <c r="J6" s="64" t="s">
        <v>39</v>
      </c>
      <c r="L6" s="9">
        <v>3</v>
      </c>
      <c r="M6" s="14" t="s">
        <v>82</v>
      </c>
      <c r="N6" s="19">
        <v>3</v>
      </c>
      <c r="O6" s="19">
        <v>3</v>
      </c>
      <c r="P6" s="19">
        <f t="shared" si="0"/>
        <v>0</v>
      </c>
    </row>
    <row r="7" spans="1:16" ht="30" customHeight="1" x14ac:dyDescent="0.3">
      <c r="A7" s="72"/>
      <c r="B7" s="30" t="s">
        <v>47</v>
      </c>
      <c r="C7" s="13" t="s">
        <v>53</v>
      </c>
      <c r="D7" s="14" t="s">
        <v>78</v>
      </c>
      <c r="E7" s="15" t="s">
        <v>58</v>
      </c>
      <c r="F7" s="16" t="s">
        <v>80</v>
      </c>
      <c r="G7" s="12" t="s">
        <v>58</v>
      </c>
      <c r="H7" s="17" t="s">
        <v>55</v>
      </c>
      <c r="I7" s="18">
        <v>7</v>
      </c>
      <c r="J7" s="65"/>
      <c r="L7" s="9">
        <v>4</v>
      </c>
      <c r="M7" s="14" t="s">
        <v>85</v>
      </c>
      <c r="N7" s="21">
        <v>1</v>
      </c>
      <c r="O7" s="21">
        <v>1</v>
      </c>
      <c r="P7" s="19">
        <f t="shared" si="0"/>
        <v>0</v>
      </c>
    </row>
    <row r="8" spans="1:16" ht="30" customHeight="1" x14ac:dyDescent="0.3">
      <c r="A8" s="29">
        <v>46058</v>
      </c>
      <c r="B8" s="30" t="s">
        <v>47</v>
      </c>
      <c r="C8" s="13" t="s">
        <v>53</v>
      </c>
      <c r="D8" s="14" t="s">
        <v>81</v>
      </c>
      <c r="E8" s="15" t="s">
        <v>54</v>
      </c>
      <c r="F8" s="16" t="s">
        <v>79</v>
      </c>
      <c r="G8" s="12" t="s">
        <v>54</v>
      </c>
      <c r="H8" s="17" t="s">
        <v>55</v>
      </c>
      <c r="I8" s="18">
        <v>12</v>
      </c>
      <c r="J8" s="34" t="s">
        <v>41</v>
      </c>
      <c r="L8" s="9">
        <v>5</v>
      </c>
      <c r="M8" s="14" t="s">
        <v>86</v>
      </c>
      <c r="N8" s="21">
        <v>2</v>
      </c>
      <c r="O8" s="21">
        <v>2</v>
      </c>
      <c r="P8" s="19">
        <f t="shared" si="0"/>
        <v>0</v>
      </c>
    </row>
    <row r="9" spans="1:16" ht="30" customHeight="1" x14ac:dyDescent="0.3">
      <c r="A9" s="46">
        <v>46059</v>
      </c>
      <c r="B9" s="30" t="s">
        <v>47</v>
      </c>
      <c r="C9" s="13" t="s">
        <v>53</v>
      </c>
      <c r="D9" s="14" t="s">
        <v>82</v>
      </c>
      <c r="E9" s="15" t="s">
        <v>57</v>
      </c>
      <c r="F9" s="16" t="s">
        <v>83</v>
      </c>
      <c r="G9" s="12" t="s">
        <v>57</v>
      </c>
      <c r="H9" s="17" t="s">
        <v>55</v>
      </c>
      <c r="I9" s="18">
        <v>9</v>
      </c>
      <c r="J9" s="22" t="s">
        <v>42</v>
      </c>
      <c r="L9" s="9">
        <v>6</v>
      </c>
      <c r="M9" s="14" t="s">
        <v>89</v>
      </c>
      <c r="N9" s="21">
        <v>3</v>
      </c>
      <c r="O9" s="21">
        <v>3</v>
      </c>
      <c r="P9" s="19">
        <f t="shared" si="0"/>
        <v>0</v>
      </c>
    </row>
    <row r="10" spans="1:16" ht="30" customHeight="1" x14ac:dyDescent="0.3">
      <c r="A10" s="70">
        <v>46060</v>
      </c>
      <c r="B10" s="30" t="s">
        <v>84</v>
      </c>
      <c r="C10" s="13" t="s">
        <v>48</v>
      </c>
      <c r="D10" s="14" t="s">
        <v>85</v>
      </c>
      <c r="E10" s="15" t="s">
        <v>76</v>
      </c>
      <c r="F10" s="16" t="s">
        <v>80</v>
      </c>
      <c r="G10" s="12" t="s">
        <v>76</v>
      </c>
      <c r="H10" s="17" t="s">
        <v>45</v>
      </c>
      <c r="I10" s="18">
        <v>12</v>
      </c>
      <c r="J10" s="64" t="s">
        <v>46</v>
      </c>
      <c r="L10" s="9">
        <v>7</v>
      </c>
      <c r="M10" s="36" t="s">
        <v>92</v>
      </c>
      <c r="N10" s="21">
        <v>1</v>
      </c>
      <c r="O10" s="21">
        <v>1</v>
      </c>
      <c r="P10" s="19">
        <f t="shared" si="0"/>
        <v>0</v>
      </c>
    </row>
    <row r="11" spans="1:16" ht="30" customHeight="1" x14ac:dyDescent="0.3">
      <c r="A11" s="71"/>
      <c r="B11" s="30" t="s">
        <v>51</v>
      </c>
      <c r="C11" s="13" t="s">
        <v>48</v>
      </c>
      <c r="D11" s="14" t="s">
        <v>86</v>
      </c>
      <c r="E11" s="15" t="s">
        <v>21</v>
      </c>
      <c r="F11" s="16" t="s">
        <v>87</v>
      </c>
      <c r="G11" s="12" t="s">
        <v>21</v>
      </c>
      <c r="H11" s="17" t="s">
        <v>45</v>
      </c>
      <c r="I11" s="18">
        <v>14</v>
      </c>
      <c r="J11" s="69"/>
      <c r="L11" s="9">
        <v>8</v>
      </c>
      <c r="M11" s="37" t="s">
        <v>93</v>
      </c>
      <c r="N11" s="21">
        <v>1</v>
      </c>
      <c r="O11" s="21">
        <v>1</v>
      </c>
      <c r="P11" s="19">
        <f t="shared" si="0"/>
        <v>0</v>
      </c>
    </row>
    <row r="12" spans="1:16" ht="30" customHeight="1" x14ac:dyDescent="0.3">
      <c r="A12" s="72"/>
      <c r="B12" s="30" t="s">
        <v>88</v>
      </c>
      <c r="C12" s="13" t="s">
        <v>48</v>
      </c>
      <c r="D12" s="14" t="s">
        <v>130</v>
      </c>
      <c r="E12" s="15" t="s">
        <v>21</v>
      </c>
      <c r="F12" s="16" t="s">
        <v>90</v>
      </c>
      <c r="G12" s="12" t="s">
        <v>21</v>
      </c>
      <c r="H12" s="17" t="s">
        <v>45</v>
      </c>
      <c r="I12" s="18">
        <v>8</v>
      </c>
      <c r="J12" s="65"/>
      <c r="L12" s="9">
        <v>9</v>
      </c>
      <c r="M12" s="14" t="s">
        <v>94</v>
      </c>
      <c r="N12" s="21">
        <v>1</v>
      </c>
      <c r="O12" s="21">
        <v>1</v>
      </c>
      <c r="P12" s="19">
        <f t="shared" si="0"/>
        <v>0</v>
      </c>
    </row>
    <row r="13" spans="1:16" ht="30" customHeight="1" x14ac:dyDescent="0.3">
      <c r="A13" s="23"/>
      <c r="B13" s="24"/>
      <c r="C13" s="25"/>
      <c r="D13" s="26"/>
      <c r="E13" s="24"/>
      <c r="F13" s="26"/>
      <c r="G13" s="24"/>
      <c r="H13" s="24"/>
      <c r="I13" s="24"/>
      <c r="J13" s="27"/>
      <c r="L13" s="9">
        <v>10</v>
      </c>
      <c r="M13" s="36" t="s">
        <v>95</v>
      </c>
      <c r="N13" s="21">
        <v>1</v>
      </c>
      <c r="O13" s="21">
        <v>1</v>
      </c>
      <c r="P13" s="19">
        <f t="shared" si="0"/>
        <v>0</v>
      </c>
    </row>
    <row r="14" spans="1:16" ht="30" customHeight="1" x14ac:dyDescent="0.3">
      <c r="A14" s="29">
        <v>46062</v>
      </c>
      <c r="B14" s="30"/>
      <c r="C14" s="31"/>
      <c r="D14" s="14"/>
      <c r="E14" s="32"/>
      <c r="F14" s="16"/>
      <c r="G14" s="12"/>
      <c r="H14" s="17"/>
      <c r="I14" s="18"/>
      <c r="J14" s="22" t="s">
        <v>24</v>
      </c>
      <c r="L14" s="9">
        <v>11</v>
      </c>
      <c r="M14" s="36" t="s">
        <v>131</v>
      </c>
      <c r="N14" s="21">
        <v>2</v>
      </c>
      <c r="O14" s="21">
        <v>2</v>
      </c>
      <c r="P14" s="19">
        <f t="shared" si="0"/>
        <v>0</v>
      </c>
    </row>
    <row r="15" spans="1:16" ht="30" customHeight="1" x14ac:dyDescent="0.3">
      <c r="A15" s="33">
        <v>46063</v>
      </c>
      <c r="B15" s="30"/>
      <c r="C15" s="31"/>
      <c r="D15" s="14"/>
      <c r="E15" s="32"/>
      <c r="F15" s="16"/>
      <c r="G15" s="12"/>
      <c r="H15" s="17"/>
      <c r="I15" s="18"/>
      <c r="J15" s="22" t="s">
        <v>29</v>
      </c>
      <c r="L15" s="9">
        <v>12</v>
      </c>
      <c r="M15" s="36" t="s">
        <v>99</v>
      </c>
      <c r="N15" s="21">
        <v>2</v>
      </c>
      <c r="O15" s="21">
        <v>1</v>
      </c>
      <c r="P15" s="19">
        <f t="shared" si="0"/>
        <v>1</v>
      </c>
    </row>
    <row r="16" spans="1:16" ht="30" customHeight="1" x14ac:dyDescent="0.3">
      <c r="A16" s="70">
        <v>46064</v>
      </c>
      <c r="B16" s="30" t="s">
        <v>51</v>
      </c>
      <c r="C16" s="13" t="s">
        <v>53</v>
      </c>
      <c r="D16" s="14" t="s">
        <v>78</v>
      </c>
      <c r="E16" s="15" t="s">
        <v>58</v>
      </c>
      <c r="F16" s="16" t="s">
        <v>79</v>
      </c>
      <c r="G16" s="12" t="s">
        <v>58</v>
      </c>
      <c r="H16" s="17" t="s">
        <v>55</v>
      </c>
      <c r="I16" s="18">
        <v>6</v>
      </c>
      <c r="J16" s="64" t="s">
        <v>39</v>
      </c>
      <c r="L16" s="9">
        <v>13</v>
      </c>
      <c r="M16" s="37" t="s">
        <v>101</v>
      </c>
      <c r="N16" s="21">
        <v>3</v>
      </c>
      <c r="O16" s="21">
        <v>3</v>
      </c>
      <c r="P16" s="19">
        <f>N16-O16</f>
        <v>0</v>
      </c>
    </row>
    <row r="17" spans="1:16" ht="30" customHeight="1" x14ac:dyDescent="0.3">
      <c r="A17" s="72"/>
      <c r="B17" s="30" t="s">
        <v>47</v>
      </c>
      <c r="C17" s="13" t="s">
        <v>53</v>
      </c>
      <c r="D17" s="14" t="s">
        <v>78</v>
      </c>
      <c r="E17" s="15" t="s">
        <v>58</v>
      </c>
      <c r="F17" s="16" t="s">
        <v>80</v>
      </c>
      <c r="G17" s="12" t="s">
        <v>58</v>
      </c>
      <c r="H17" s="17" t="s">
        <v>55</v>
      </c>
      <c r="I17" s="18">
        <v>7</v>
      </c>
      <c r="J17" s="65"/>
      <c r="L17" s="9">
        <v>14</v>
      </c>
      <c r="M17" s="14" t="s">
        <v>103</v>
      </c>
      <c r="N17" s="21">
        <v>1</v>
      </c>
      <c r="O17" s="21">
        <v>1</v>
      </c>
      <c r="P17" s="19">
        <f t="shared" si="0"/>
        <v>0</v>
      </c>
    </row>
    <row r="18" spans="1:16" ht="30" customHeight="1" x14ac:dyDescent="0.3">
      <c r="A18" s="29">
        <v>46065</v>
      </c>
      <c r="B18" s="30"/>
      <c r="C18" s="31"/>
      <c r="D18" s="36"/>
      <c r="E18" s="32"/>
      <c r="F18" s="16"/>
      <c r="G18" s="12"/>
      <c r="H18" s="17"/>
      <c r="I18" s="35"/>
      <c r="J18" s="22" t="s">
        <v>41</v>
      </c>
      <c r="L18" s="9">
        <v>15</v>
      </c>
      <c r="M18" s="14" t="s">
        <v>133</v>
      </c>
      <c r="N18" s="21">
        <v>1</v>
      </c>
      <c r="O18" s="21">
        <v>1</v>
      </c>
      <c r="P18" s="19">
        <f t="shared" si="0"/>
        <v>0</v>
      </c>
    </row>
    <row r="19" spans="1:16" ht="30" customHeight="1" x14ac:dyDescent="0.3">
      <c r="A19" s="29">
        <v>46066</v>
      </c>
      <c r="B19" s="30" t="s">
        <v>47</v>
      </c>
      <c r="C19" s="13" t="s">
        <v>53</v>
      </c>
      <c r="D19" s="14" t="s">
        <v>82</v>
      </c>
      <c r="E19" s="15" t="s">
        <v>57</v>
      </c>
      <c r="F19" s="16" t="s">
        <v>83</v>
      </c>
      <c r="G19" s="12" t="s">
        <v>57</v>
      </c>
      <c r="H19" s="17" t="s">
        <v>55</v>
      </c>
      <c r="I19" s="18">
        <v>9</v>
      </c>
      <c r="J19" s="22" t="s">
        <v>42</v>
      </c>
      <c r="L19" s="9">
        <v>16</v>
      </c>
      <c r="M19" s="37" t="s">
        <v>110</v>
      </c>
      <c r="N19" s="21">
        <v>1</v>
      </c>
      <c r="O19" s="21">
        <v>1</v>
      </c>
      <c r="P19" s="19">
        <f t="shared" si="0"/>
        <v>0</v>
      </c>
    </row>
    <row r="20" spans="1:16" ht="30" customHeight="1" x14ac:dyDescent="0.3">
      <c r="A20" s="70">
        <v>46067</v>
      </c>
      <c r="B20" s="30"/>
      <c r="C20" s="31" t="s">
        <v>91</v>
      </c>
      <c r="D20" s="36" t="s">
        <v>92</v>
      </c>
      <c r="E20" s="32" t="s">
        <v>21</v>
      </c>
      <c r="F20" s="16" t="s">
        <v>22</v>
      </c>
      <c r="G20" s="12" t="s">
        <v>21</v>
      </c>
      <c r="H20" s="17" t="s">
        <v>113</v>
      </c>
      <c r="I20" s="18">
        <v>20</v>
      </c>
      <c r="J20" s="64" t="s">
        <v>46</v>
      </c>
      <c r="M20" s="1"/>
      <c r="N20" s="1">
        <f>SUM(N4:N19)</f>
        <v>33</v>
      </c>
      <c r="O20" s="1">
        <f>SUM(O4:O19)</f>
        <v>32</v>
      </c>
      <c r="P20" s="1">
        <f>SUM(P4:P19)</f>
        <v>1</v>
      </c>
    </row>
    <row r="21" spans="1:16" ht="30" customHeight="1" x14ac:dyDescent="0.3">
      <c r="A21" s="71"/>
      <c r="B21" s="30" t="s">
        <v>18</v>
      </c>
      <c r="C21" s="13" t="s">
        <v>48</v>
      </c>
      <c r="D21" s="37" t="s">
        <v>93</v>
      </c>
      <c r="E21" s="15" t="s">
        <v>76</v>
      </c>
      <c r="F21" s="16" t="s">
        <v>80</v>
      </c>
      <c r="G21" s="12" t="s">
        <v>76</v>
      </c>
      <c r="H21" s="17" t="s">
        <v>45</v>
      </c>
      <c r="I21" s="18">
        <v>12</v>
      </c>
      <c r="J21" s="69"/>
      <c r="M21" s="1"/>
    </row>
    <row r="22" spans="1:16" ht="30" customHeight="1" x14ac:dyDescent="0.3">
      <c r="A22" s="71"/>
      <c r="B22" s="30" t="s">
        <v>51</v>
      </c>
      <c r="C22" s="13" t="s">
        <v>48</v>
      </c>
      <c r="D22" s="14" t="s">
        <v>86</v>
      </c>
      <c r="E22" s="15" t="s">
        <v>21</v>
      </c>
      <c r="F22" s="16" t="s">
        <v>87</v>
      </c>
      <c r="G22" s="12" t="s">
        <v>21</v>
      </c>
      <c r="H22" s="17" t="s">
        <v>45</v>
      </c>
      <c r="I22" s="18">
        <v>14</v>
      </c>
      <c r="J22" s="69"/>
      <c r="M22" s="1"/>
    </row>
    <row r="23" spans="1:16" ht="30" customHeight="1" x14ac:dyDescent="0.3">
      <c r="A23" s="72"/>
      <c r="B23" s="30" t="s">
        <v>88</v>
      </c>
      <c r="C23" s="13" t="s">
        <v>48</v>
      </c>
      <c r="D23" s="14" t="s">
        <v>130</v>
      </c>
      <c r="E23" s="15" t="s">
        <v>21</v>
      </c>
      <c r="F23" s="16" t="s">
        <v>90</v>
      </c>
      <c r="G23" s="12" t="s">
        <v>21</v>
      </c>
      <c r="H23" s="17" t="s">
        <v>45</v>
      </c>
      <c r="I23" s="18">
        <v>8</v>
      </c>
      <c r="J23" s="65"/>
      <c r="M23" s="1"/>
    </row>
    <row r="24" spans="1:16" ht="30" customHeight="1" x14ac:dyDescent="0.3">
      <c r="A24" s="23"/>
      <c r="B24" s="24"/>
      <c r="C24" s="25"/>
      <c r="D24" s="26"/>
      <c r="E24" s="24"/>
      <c r="F24" s="26"/>
      <c r="G24" s="24"/>
      <c r="H24" s="24"/>
      <c r="I24" s="24"/>
      <c r="J24" s="24"/>
      <c r="M24" s="1"/>
    </row>
    <row r="25" spans="1:16" ht="30" customHeight="1" x14ac:dyDescent="0.3">
      <c r="A25" s="29">
        <v>46069</v>
      </c>
      <c r="B25" s="12"/>
      <c r="C25" s="31"/>
      <c r="D25" s="36"/>
      <c r="E25" s="32"/>
      <c r="F25" s="16"/>
      <c r="G25" s="12"/>
      <c r="H25" s="17"/>
      <c r="I25" s="18"/>
      <c r="J25" s="22" t="s">
        <v>24</v>
      </c>
    </row>
    <row r="26" spans="1:16" ht="30" customHeight="1" x14ac:dyDescent="0.3">
      <c r="A26" s="29">
        <v>46070</v>
      </c>
      <c r="B26" s="30"/>
      <c r="C26" s="31"/>
      <c r="D26" s="37"/>
      <c r="E26" s="32"/>
      <c r="F26" s="16"/>
      <c r="G26" s="12"/>
      <c r="H26" s="17"/>
      <c r="I26" s="18"/>
      <c r="J26" s="22" t="s">
        <v>29</v>
      </c>
    </row>
    <row r="27" spans="1:16" ht="30" customHeight="1" x14ac:dyDescent="0.3">
      <c r="A27" s="70">
        <v>46071</v>
      </c>
      <c r="B27" s="30" t="s">
        <v>51</v>
      </c>
      <c r="C27" s="13" t="s">
        <v>53</v>
      </c>
      <c r="D27" s="14" t="s">
        <v>78</v>
      </c>
      <c r="E27" s="15" t="s">
        <v>58</v>
      </c>
      <c r="F27" s="16" t="s">
        <v>79</v>
      </c>
      <c r="G27" s="12" t="s">
        <v>58</v>
      </c>
      <c r="H27" s="17" t="s">
        <v>55</v>
      </c>
      <c r="I27" s="18">
        <v>6</v>
      </c>
      <c r="J27" s="64" t="s">
        <v>39</v>
      </c>
    </row>
    <row r="28" spans="1:16" ht="30" customHeight="1" x14ac:dyDescent="0.3">
      <c r="A28" s="71"/>
      <c r="B28" s="30" t="s">
        <v>47</v>
      </c>
      <c r="C28" s="13" t="s">
        <v>53</v>
      </c>
      <c r="D28" s="14" t="s">
        <v>78</v>
      </c>
      <c r="E28" s="15" t="s">
        <v>58</v>
      </c>
      <c r="F28" s="16" t="s">
        <v>80</v>
      </c>
      <c r="G28" s="12" t="s">
        <v>58</v>
      </c>
      <c r="H28" s="17" t="s">
        <v>55</v>
      </c>
      <c r="I28" s="18">
        <v>7</v>
      </c>
      <c r="J28" s="69"/>
    </row>
    <row r="29" spans="1:16" ht="30" customHeight="1" x14ac:dyDescent="0.3">
      <c r="A29" s="72"/>
      <c r="B29" s="12" t="s">
        <v>63</v>
      </c>
      <c r="C29" s="31" t="s">
        <v>48</v>
      </c>
      <c r="D29" s="14" t="s">
        <v>94</v>
      </c>
      <c r="E29" s="15" t="s">
        <v>57</v>
      </c>
      <c r="F29" s="16" t="s">
        <v>79</v>
      </c>
      <c r="G29" s="12" t="s">
        <v>57</v>
      </c>
      <c r="H29" s="17" t="s">
        <v>45</v>
      </c>
      <c r="I29" s="18">
        <v>9</v>
      </c>
      <c r="J29" s="65"/>
    </row>
    <row r="30" spans="1:16" ht="30" customHeight="1" x14ac:dyDescent="0.3">
      <c r="A30" s="29">
        <v>46072</v>
      </c>
      <c r="B30" s="12" t="s">
        <v>63</v>
      </c>
      <c r="C30" s="13" t="s">
        <v>53</v>
      </c>
      <c r="D30" s="14" t="s">
        <v>132</v>
      </c>
      <c r="E30" s="15" t="s">
        <v>54</v>
      </c>
      <c r="F30" s="16" t="s">
        <v>79</v>
      </c>
      <c r="G30" s="12" t="s">
        <v>54</v>
      </c>
      <c r="H30" s="17" t="s">
        <v>55</v>
      </c>
      <c r="I30" s="35" t="s">
        <v>56</v>
      </c>
      <c r="J30" s="22" t="s">
        <v>41</v>
      </c>
    </row>
    <row r="31" spans="1:16" ht="30" customHeight="1" x14ac:dyDescent="0.3">
      <c r="A31" s="29">
        <v>46073</v>
      </c>
      <c r="B31" s="30" t="s">
        <v>47</v>
      </c>
      <c r="C31" s="13" t="s">
        <v>53</v>
      </c>
      <c r="D31" s="14" t="s">
        <v>82</v>
      </c>
      <c r="E31" s="15" t="s">
        <v>57</v>
      </c>
      <c r="F31" s="16" t="s">
        <v>83</v>
      </c>
      <c r="G31" s="12" t="s">
        <v>57</v>
      </c>
      <c r="H31" s="17" t="s">
        <v>55</v>
      </c>
      <c r="I31" s="18">
        <v>9</v>
      </c>
      <c r="J31" s="22" t="s">
        <v>42</v>
      </c>
    </row>
    <row r="32" spans="1:16" ht="30" customHeight="1" x14ac:dyDescent="0.3">
      <c r="A32" s="70">
        <v>46074</v>
      </c>
      <c r="B32" s="30" t="s">
        <v>18</v>
      </c>
      <c r="C32" s="31" t="s">
        <v>43</v>
      </c>
      <c r="D32" s="36" t="s">
        <v>95</v>
      </c>
      <c r="E32" s="32" t="s">
        <v>21</v>
      </c>
      <c r="F32" s="16" t="s">
        <v>96</v>
      </c>
      <c r="G32" s="12" t="s">
        <v>21</v>
      </c>
      <c r="H32" s="17" t="s">
        <v>45</v>
      </c>
      <c r="I32" s="18">
        <v>15</v>
      </c>
      <c r="J32" s="64" t="s">
        <v>46</v>
      </c>
    </row>
    <row r="33" spans="1:10" ht="30" customHeight="1" x14ac:dyDescent="0.3">
      <c r="A33" s="71"/>
      <c r="B33" s="30" t="s">
        <v>88</v>
      </c>
      <c r="C33" s="13" t="s">
        <v>48</v>
      </c>
      <c r="D33" s="14" t="s">
        <v>130</v>
      </c>
      <c r="E33" s="15" t="s">
        <v>21</v>
      </c>
      <c r="F33" s="16" t="s">
        <v>90</v>
      </c>
      <c r="G33" s="12" t="s">
        <v>21</v>
      </c>
      <c r="H33" s="17" t="s">
        <v>45</v>
      </c>
      <c r="I33" s="18">
        <v>9</v>
      </c>
      <c r="J33" s="69"/>
    </row>
    <row r="34" spans="1:10" ht="30" customHeight="1" x14ac:dyDescent="0.3">
      <c r="A34" s="71"/>
      <c r="B34" s="30" t="s">
        <v>51</v>
      </c>
      <c r="C34" s="31" t="s">
        <v>43</v>
      </c>
      <c r="D34" s="36" t="s">
        <v>131</v>
      </c>
      <c r="E34" s="15" t="s">
        <v>21</v>
      </c>
      <c r="F34" s="16" t="s">
        <v>80</v>
      </c>
      <c r="G34" s="12" t="s">
        <v>21</v>
      </c>
      <c r="H34" s="17" t="s">
        <v>45</v>
      </c>
      <c r="I34" s="18">
        <v>15</v>
      </c>
      <c r="J34" s="69"/>
    </row>
    <row r="35" spans="1:10" ht="30" customHeight="1" x14ac:dyDescent="0.3">
      <c r="A35" s="72"/>
      <c r="B35" s="30" t="s">
        <v>98</v>
      </c>
      <c r="C35" s="31" t="s">
        <v>48</v>
      </c>
      <c r="D35" s="36" t="s">
        <v>99</v>
      </c>
      <c r="E35" s="15" t="s">
        <v>76</v>
      </c>
      <c r="F35" s="16" t="s">
        <v>79</v>
      </c>
      <c r="G35" s="12" t="s">
        <v>76</v>
      </c>
      <c r="H35" s="17" t="s">
        <v>45</v>
      </c>
      <c r="I35" s="18">
        <v>12</v>
      </c>
      <c r="J35" s="65"/>
    </row>
    <row r="36" spans="1:10" ht="30" customHeight="1" x14ac:dyDescent="0.3">
      <c r="A36" s="23"/>
      <c r="B36" s="24"/>
      <c r="C36" s="25"/>
      <c r="D36" s="26"/>
      <c r="E36" s="24"/>
      <c r="F36" s="26"/>
      <c r="G36" s="24"/>
      <c r="H36" s="24"/>
      <c r="I36" s="24"/>
      <c r="J36" s="24"/>
    </row>
    <row r="37" spans="1:10" ht="30" customHeight="1" x14ac:dyDescent="0.3">
      <c r="A37" s="29">
        <v>46076</v>
      </c>
      <c r="B37" s="30"/>
      <c r="C37" s="31"/>
      <c r="D37" s="36"/>
      <c r="E37" s="32"/>
      <c r="F37" s="16"/>
      <c r="G37" s="12"/>
      <c r="H37" s="17"/>
      <c r="I37" s="18"/>
      <c r="J37" s="22" t="s">
        <v>24</v>
      </c>
    </row>
    <row r="38" spans="1:10" ht="30" customHeight="1" x14ac:dyDescent="0.3">
      <c r="A38" s="29">
        <v>46077</v>
      </c>
      <c r="B38" s="30"/>
      <c r="C38" s="31"/>
      <c r="D38" s="37"/>
      <c r="E38" s="32"/>
      <c r="F38" s="16"/>
      <c r="G38" s="12"/>
      <c r="H38" s="17"/>
      <c r="I38" s="18"/>
      <c r="J38" s="22" t="s">
        <v>29</v>
      </c>
    </row>
    <row r="39" spans="1:10" ht="30" customHeight="1" x14ac:dyDescent="0.3">
      <c r="A39" s="70">
        <v>46078</v>
      </c>
      <c r="B39" s="30" t="s">
        <v>51</v>
      </c>
      <c r="C39" s="13" t="s">
        <v>53</v>
      </c>
      <c r="D39" s="14" t="s">
        <v>78</v>
      </c>
      <c r="E39" s="15" t="s">
        <v>58</v>
      </c>
      <c r="F39" s="16" t="s">
        <v>79</v>
      </c>
      <c r="G39" s="12" t="s">
        <v>58</v>
      </c>
      <c r="H39" s="17" t="s">
        <v>55</v>
      </c>
      <c r="I39" s="18">
        <v>6</v>
      </c>
      <c r="J39" s="64" t="s">
        <v>39</v>
      </c>
    </row>
    <row r="40" spans="1:10" ht="30" customHeight="1" x14ac:dyDescent="0.3">
      <c r="A40" s="71"/>
      <c r="B40" s="30" t="s">
        <v>47</v>
      </c>
      <c r="C40" s="13" t="s">
        <v>53</v>
      </c>
      <c r="D40" s="14" t="s">
        <v>78</v>
      </c>
      <c r="E40" s="15" t="s">
        <v>58</v>
      </c>
      <c r="F40" s="16" t="s">
        <v>80</v>
      </c>
      <c r="G40" s="12" t="s">
        <v>58</v>
      </c>
      <c r="H40" s="17" t="s">
        <v>55</v>
      </c>
      <c r="I40" s="18">
        <v>7</v>
      </c>
      <c r="J40" s="69"/>
    </row>
    <row r="41" spans="1:10" ht="30" customHeight="1" x14ac:dyDescent="0.3">
      <c r="A41" s="71"/>
      <c r="B41" s="30" t="s">
        <v>47</v>
      </c>
      <c r="C41" s="31" t="s">
        <v>43</v>
      </c>
      <c r="D41" s="37" t="s">
        <v>101</v>
      </c>
      <c r="E41" s="32" t="s">
        <v>102</v>
      </c>
      <c r="F41" s="16" t="s">
        <v>74</v>
      </c>
      <c r="G41" s="12" t="s">
        <v>102</v>
      </c>
      <c r="H41" s="17" t="s">
        <v>45</v>
      </c>
      <c r="I41" s="18">
        <v>12</v>
      </c>
      <c r="J41" s="69"/>
    </row>
    <row r="42" spans="1:10" ht="30" customHeight="1" x14ac:dyDescent="0.3">
      <c r="A42" s="72"/>
      <c r="B42" s="30" t="s">
        <v>51</v>
      </c>
      <c r="C42" s="31" t="s">
        <v>43</v>
      </c>
      <c r="D42" s="14" t="s">
        <v>103</v>
      </c>
      <c r="E42" s="15" t="s">
        <v>57</v>
      </c>
      <c r="F42" s="16" t="s">
        <v>79</v>
      </c>
      <c r="G42" s="12" t="s">
        <v>57</v>
      </c>
      <c r="H42" s="17" t="s">
        <v>45</v>
      </c>
      <c r="I42" s="18">
        <v>9</v>
      </c>
      <c r="J42" s="65"/>
    </row>
    <row r="43" spans="1:10" ht="30" customHeight="1" x14ac:dyDescent="0.3">
      <c r="A43" s="70">
        <v>46079</v>
      </c>
      <c r="B43" s="30" t="s">
        <v>47</v>
      </c>
      <c r="C43" s="13" t="s">
        <v>53</v>
      </c>
      <c r="D43" s="14" t="s">
        <v>133</v>
      </c>
      <c r="E43" s="32" t="s">
        <v>21</v>
      </c>
      <c r="F43" s="16" t="s">
        <v>104</v>
      </c>
      <c r="G43" s="12" t="s">
        <v>21</v>
      </c>
      <c r="H43" s="17" t="s">
        <v>55</v>
      </c>
      <c r="I43" s="35" t="s">
        <v>105</v>
      </c>
      <c r="J43" s="76" t="s">
        <v>41</v>
      </c>
    </row>
    <row r="44" spans="1:10" ht="30" customHeight="1" x14ac:dyDescent="0.3">
      <c r="A44" s="72"/>
      <c r="B44" s="30" t="s">
        <v>47</v>
      </c>
      <c r="C44" s="31" t="s">
        <v>71</v>
      </c>
      <c r="D44" s="37" t="s">
        <v>101</v>
      </c>
      <c r="E44" s="32" t="s">
        <v>106</v>
      </c>
      <c r="F44" s="16" t="s">
        <v>74</v>
      </c>
      <c r="G44" s="12" t="s">
        <v>106</v>
      </c>
      <c r="H44" s="17" t="s">
        <v>45</v>
      </c>
      <c r="I44" s="35" t="s">
        <v>107</v>
      </c>
      <c r="J44" s="76"/>
    </row>
    <row r="45" spans="1:10" ht="30" customHeight="1" x14ac:dyDescent="0.3">
      <c r="A45" s="29">
        <v>46080</v>
      </c>
      <c r="B45" s="30" t="s">
        <v>47</v>
      </c>
      <c r="C45" s="31" t="s">
        <v>71</v>
      </c>
      <c r="D45" s="37" t="s">
        <v>101</v>
      </c>
      <c r="E45" s="32" t="s">
        <v>108</v>
      </c>
      <c r="F45" s="16" t="s">
        <v>74</v>
      </c>
      <c r="G45" s="12" t="s">
        <v>108</v>
      </c>
      <c r="H45" s="17" t="s">
        <v>45</v>
      </c>
      <c r="I45" s="35" t="s">
        <v>109</v>
      </c>
      <c r="J45" s="34" t="s">
        <v>42</v>
      </c>
    </row>
    <row r="46" spans="1:10" ht="30" customHeight="1" x14ac:dyDescent="0.3">
      <c r="A46" s="70">
        <v>46081</v>
      </c>
      <c r="B46" s="30" t="s">
        <v>18</v>
      </c>
      <c r="C46" s="31" t="s">
        <v>43</v>
      </c>
      <c r="D46" s="37" t="s">
        <v>110</v>
      </c>
      <c r="E46" s="32" t="s">
        <v>21</v>
      </c>
      <c r="F46" s="16" t="s">
        <v>112</v>
      </c>
      <c r="G46" s="12" t="s">
        <v>21</v>
      </c>
      <c r="H46" s="17" t="s">
        <v>45</v>
      </c>
      <c r="I46" s="35" t="s">
        <v>111</v>
      </c>
      <c r="J46" s="64" t="s">
        <v>46</v>
      </c>
    </row>
    <row r="47" spans="1:10" ht="30" customHeight="1" x14ac:dyDescent="0.3">
      <c r="A47" s="71"/>
      <c r="B47" s="30" t="s">
        <v>47</v>
      </c>
      <c r="C47" s="31" t="s">
        <v>43</v>
      </c>
      <c r="D47" s="36" t="s">
        <v>97</v>
      </c>
      <c r="E47" s="15" t="s">
        <v>21</v>
      </c>
      <c r="F47" s="16" t="s">
        <v>80</v>
      </c>
      <c r="G47" s="12" t="s">
        <v>21</v>
      </c>
      <c r="H47" s="17" t="s">
        <v>45</v>
      </c>
      <c r="I47" s="18">
        <v>14</v>
      </c>
      <c r="J47" s="69"/>
    </row>
    <row r="48" spans="1:10" ht="30" customHeight="1" x14ac:dyDescent="0.3">
      <c r="A48" s="72"/>
      <c r="B48" s="38" t="s">
        <v>51</v>
      </c>
      <c r="C48" s="39" t="s">
        <v>48</v>
      </c>
      <c r="D48" s="40" t="s">
        <v>99</v>
      </c>
      <c r="E48" s="42" t="s">
        <v>76</v>
      </c>
      <c r="F48" s="41" t="s">
        <v>79</v>
      </c>
      <c r="G48" s="42" t="s">
        <v>76</v>
      </c>
      <c r="H48" s="43" t="s">
        <v>45</v>
      </c>
      <c r="I48" s="47" t="s">
        <v>109</v>
      </c>
      <c r="J48" s="65"/>
    </row>
  </sheetData>
  <autoFilter ref="C1:C57" xr:uid="{F51973A9-923A-4908-91EF-8464FFC138CC}"/>
  <mergeCells count="19">
    <mergeCell ref="A1:J1"/>
    <mergeCell ref="A16:A17"/>
    <mergeCell ref="J16:J17"/>
    <mergeCell ref="A27:A29"/>
    <mergeCell ref="J27:J29"/>
    <mergeCell ref="A6:A7"/>
    <mergeCell ref="J6:J7"/>
    <mergeCell ref="A10:A12"/>
    <mergeCell ref="J10:J12"/>
    <mergeCell ref="A20:A23"/>
    <mergeCell ref="J20:J23"/>
    <mergeCell ref="A43:A44"/>
    <mergeCell ref="J43:J44"/>
    <mergeCell ref="A46:A48"/>
    <mergeCell ref="J46:J48"/>
    <mergeCell ref="A32:A35"/>
    <mergeCell ref="J32:J35"/>
    <mergeCell ref="A39:A42"/>
    <mergeCell ref="J39:J42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037F-3467-476C-9CF5-2C70389C4F92}">
  <dimension ref="A1:P40"/>
  <sheetViews>
    <sheetView topLeftCell="A10" zoomScale="65" zoomScaleNormal="65" workbookViewId="0">
      <selection activeCell="D11" sqref="D11"/>
    </sheetView>
  </sheetViews>
  <sheetFormatPr defaultColWidth="9.109375" defaultRowHeight="15.6" x14ac:dyDescent="0.3"/>
  <cols>
    <col min="1" max="1" width="14.44140625" style="44" customWidth="1"/>
    <col min="2" max="2" width="24.44140625" style="44" customWidth="1"/>
    <col min="3" max="3" width="16.88671875" style="44" customWidth="1"/>
    <col min="4" max="4" width="60.44140625" style="44" customWidth="1"/>
    <col min="5" max="5" width="27.109375" style="44" customWidth="1"/>
    <col min="6" max="6" width="24.33203125" style="44" customWidth="1"/>
    <col min="7" max="7" width="25.109375" style="44" customWidth="1"/>
    <col min="8" max="8" width="16.6640625" style="44" customWidth="1"/>
    <col min="9" max="9" width="14.88671875" style="44" customWidth="1"/>
    <col min="10" max="10" width="17.6640625" style="44" customWidth="1"/>
    <col min="11" max="11" width="9.109375" style="1"/>
    <col min="12" max="12" width="9.33203125" style="1" bestFit="1" customWidth="1"/>
    <col min="13" max="13" width="53.5546875" style="2" customWidth="1"/>
    <col min="14" max="14" width="13.33203125" style="44" bestFit="1" customWidth="1"/>
    <col min="15" max="15" width="9.33203125" style="44" bestFit="1" customWidth="1"/>
    <col min="16" max="16" width="10.44140625" style="1" customWidth="1"/>
    <col min="17" max="16384" width="9.109375" style="1"/>
  </cols>
  <sheetData>
    <row r="1" spans="1:16" ht="41.4" customHeight="1" thickBot="1" x14ac:dyDescent="0.35">
      <c r="A1" s="66" t="s">
        <v>100</v>
      </c>
      <c r="B1" s="67"/>
      <c r="C1" s="67"/>
      <c r="D1" s="67"/>
      <c r="E1" s="67"/>
      <c r="F1" s="67"/>
      <c r="G1" s="67"/>
      <c r="H1" s="67"/>
      <c r="I1" s="67"/>
      <c r="J1" s="67"/>
    </row>
    <row r="2" spans="1:16" ht="50.4" customHeight="1" x14ac:dyDescent="0.3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4" t="s">
        <v>7</v>
      </c>
      <c r="I2" s="7" t="s">
        <v>8</v>
      </c>
      <c r="J2" s="8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</row>
    <row r="3" spans="1:16" ht="16.2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L3" s="9"/>
      <c r="M3" s="9"/>
      <c r="N3" s="9"/>
      <c r="O3" s="9"/>
      <c r="P3" s="9"/>
    </row>
    <row r="4" spans="1:16" ht="30" customHeight="1" x14ac:dyDescent="0.3">
      <c r="A4" s="46">
        <v>46023</v>
      </c>
      <c r="B4" s="12"/>
      <c r="C4" s="13"/>
      <c r="D4" s="14"/>
      <c r="E4" s="15"/>
      <c r="F4" s="16"/>
      <c r="G4" s="12"/>
      <c r="H4" s="17"/>
      <c r="I4" s="18"/>
      <c r="J4" s="22"/>
      <c r="L4" s="9">
        <v>1</v>
      </c>
      <c r="M4" s="14" t="s">
        <v>20</v>
      </c>
      <c r="N4" s="19">
        <v>1</v>
      </c>
      <c r="O4" s="19">
        <v>1</v>
      </c>
      <c r="P4" s="19">
        <f>N4-O4</f>
        <v>0</v>
      </c>
    </row>
    <row r="5" spans="1:16" ht="30" customHeight="1" x14ac:dyDescent="0.3">
      <c r="A5" s="46">
        <v>46024</v>
      </c>
      <c r="B5" s="12"/>
      <c r="C5" s="13"/>
      <c r="D5" s="14"/>
      <c r="E5" s="15"/>
      <c r="F5" s="16"/>
      <c r="G5" s="12"/>
      <c r="H5" s="17"/>
      <c r="I5" s="18"/>
      <c r="J5" s="22"/>
      <c r="L5" s="9">
        <v>2</v>
      </c>
      <c r="M5" s="14" t="s">
        <v>28</v>
      </c>
      <c r="N5" s="21">
        <v>1</v>
      </c>
      <c r="O5" s="21">
        <v>1</v>
      </c>
      <c r="P5" s="19">
        <f t="shared" ref="P5:P19" si="0">N5-O5</f>
        <v>0</v>
      </c>
    </row>
    <row r="6" spans="1:16" ht="30" customHeight="1" x14ac:dyDescent="0.3">
      <c r="A6" s="46">
        <v>46025</v>
      </c>
      <c r="B6" s="12"/>
      <c r="C6" s="13"/>
      <c r="D6" s="14"/>
      <c r="E6" s="15"/>
      <c r="F6" s="16"/>
      <c r="G6" s="12"/>
      <c r="H6" s="17"/>
      <c r="I6" s="18"/>
      <c r="J6" s="22"/>
      <c r="L6" s="9">
        <v>3</v>
      </c>
      <c r="M6" s="14" t="s">
        <v>33</v>
      </c>
      <c r="N6" s="21">
        <v>1</v>
      </c>
      <c r="O6" s="21">
        <v>1</v>
      </c>
      <c r="P6" s="19">
        <f t="shared" si="0"/>
        <v>0</v>
      </c>
    </row>
    <row r="7" spans="1:16" ht="30" customHeight="1" x14ac:dyDescent="0.3">
      <c r="A7" s="23"/>
      <c r="B7" s="24"/>
      <c r="C7" s="25"/>
      <c r="D7" s="26"/>
      <c r="E7" s="24"/>
      <c r="F7" s="26"/>
      <c r="G7" s="24"/>
      <c r="H7" s="24"/>
      <c r="I7" s="24"/>
      <c r="J7" s="27"/>
      <c r="L7" s="9">
        <v>4</v>
      </c>
      <c r="M7" s="14" t="s">
        <v>36</v>
      </c>
      <c r="N7" s="21">
        <v>1</v>
      </c>
      <c r="O7" s="21">
        <v>1</v>
      </c>
      <c r="P7" s="19">
        <f t="shared" si="0"/>
        <v>0</v>
      </c>
    </row>
    <row r="8" spans="1:16" ht="30" customHeight="1" x14ac:dyDescent="0.3">
      <c r="A8" s="29">
        <v>46027</v>
      </c>
      <c r="B8" s="30" t="s">
        <v>18</v>
      </c>
      <c r="C8" s="31" t="s">
        <v>19</v>
      </c>
      <c r="D8" s="14" t="s">
        <v>20</v>
      </c>
      <c r="E8" s="32" t="s">
        <v>21</v>
      </c>
      <c r="F8" s="16" t="s">
        <v>22</v>
      </c>
      <c r="G8" s="12" t="s">
        <v>21</v>
      </c>
      <c r="H8" s="17" t="s">
        <v>23</v>
      </c>
      <c r="I8" s="18">
        <v>17</v>
      </c>
      <c r="J8" s="22" t="s">
        <v>24</v>
      </c>
      <c r="L8" s="9">
        <v>5</v>
      </c>
      <c r="M8" s="36" t="s">
        <v>44</v>
      </c>
      <c r="N8" s="21">
        <v>1</v>
      </c>
      <c r="O8" s="21">
        <v>1</v>
      </c>
      <c r="P8" s="19">
        <f t="shared" si="0"/>
        <v>0</v>
      </c>
    </row>
    <row r="9" spans="1:16" ht="30" customHeight="1" x14ac:dyDescent="0.3">
      <c r="A9" s="70">
        <v>46028</v>
      </c>
      <c r="B9" s="30" t="s">
        <v>26</v>
      </c>
      <c r="C9" s="31" t="s">
        <v>27</v>
      </c>
      <c r="D9" s="14" t="s">
        <v>28</v>
      </c>
      <c r="E9" s="32" t="s">
        <v>21</v>
      </c>
      <c r="F9" s="16" t="s">
        <v>22</v>
      </c>
      <c r="G9" s="12" t="s">
        <v>21</v>
      </c>
      <c r="H9" s="17" t="s">
        <v>23</v>
      </c>
      <c r="I9" s="18">
        <v>17</v>
      </c>
      <c r="J9" s="64" t="s">
        <v>29</v>
      </c>
      <c r="L9" s="9">
        <v>6</v>
      </c>
      <c r="M9" s="28" t="s">
        <v>129</v>
      </c>
      <c r="N9" s="21">
        <v>1</v>
      </c>
      <c r="O9" s="21">
        <v>1</v>
      </c>
      <c r="P9" s="19">
        <f t="shared" si="0"/>
        <v>0</v>
      </c>
    </row>
    <row r="10" spans="1:16" ht="30" customHeight="1" x14ac:dyDescent="0.3">
      <c r="A10" s="72"/>
      <c r="B10" s="12" t="s">
        <v>31</v>
      </c>
      <c r="C10" s="31" t="s">
        <v>32</v>
      </c>
      <c r="D10" s="14" t="s">
        <v>33</v>
      </c>
      <c r="E10" s="32" t="s">
        <v>21</v>
      </c>
      <c r="F10" s="16" t="s">
        <v>22</v>
      </c>
      <c r="G10" s="12" t="s">
        <v>21</v>
      </c>
      <c r="H10" s="17" t="s">
        <v>23</v>
      </c>
      <c r="I10" s="18">
        <v>17</v>
      </c>
      <c r="J10" s="65"/>
      <c r="L10" s="9">
        <v>7</v>
      </c>
      <c r="M10" s="28" t="s">
        <v>127</v>
      </c>
      <c r="N10" s="21">
        <v>1</v>
      </c>
      <c r="O10" s="21">
        <v>1</v>
      </c>
      <c r="P10" s="19">
        <f t="shared" si="0"/>
        <v>0</v>
      </c>
    </row>
    <row r="11" spans="1:16" ht="30" customHeight="1" x14ac:dyDescent="0.3">
      <c r="A11" s="29">
        <v>46029</v>
      </c>
      <c r="B11" s="30" t="s">
        <v>34</v>
      </c>
      <c r="C11" s="31" t="s">
        <v>35</v>
      </c>
      <c r="D11" s="14" t="s">
        <v>36</v>
      </c>
      <c r="E11" s="32" t="s">
        <v>21</v>
      </c>
      <c r="F11" s="16" t="s">
        <v>22</v>
      </c>
      <c r="G11" s="12" t="s">
        <v>21</v>
      </c>
      <c r="H11" s="17" t="s">
        <v>37</v>
      </c>
      <c r="I11" s="35" t="s">
        <v>38</v>
      </c>
      <c r="J11" s="22" t="s">
        <v>39</v>
      </c>
      <c r="L11" s="9">
        <v>8</v>
      </c>
      <c r="M11" s="28" t="s">
        <v>16</v>
      </c>
      <c r="N11" s="21">
        <v>3</v>
      </c>
      <c r="O11" s="21">
        <v>3</v>
      </c>
      <c r="P11" s="19">
        <f t="shared" si="0"/>
        <v>0</v>
      </c>
    </row>
    <row r="12" spans="1:16" ht="30" customHeight="1" x14ac:dyDescent="0.3">
      <c r="A12" s="29">
        <v>46030</v>
      </c>
      <c r="B12" s="30"/>
      <c r="C12" s="31"/>
      <c r="D12" s="36"/>
      <c r="E12" s="32"/>
      <c r="F12" s="16"/>
      <c r="G12" s="12"/>
      <c r="H12" s="17"/>
      <c r="I12" s="35"/>
      <c r="J12" s="22" t="s">
        <v>41</v>
      </c>
      <c r="L12" s="9">
        <v>9</v>
      </c>
      <c r="M12" s="28" t="s">
        <v>25</v>
      </c>
      <c r="N12" s="21">
        <v>3</v>
      </c>
      <c r="O12" s="21">
        <v>3</v>
      </c>
      <c r="P12" s="19">
        <f t="shared" si="0"/>
        <v>0</v>
      </c>
    </row>
    <row r="13" spans="1:16" ht="30" customHeight="1" x14ac:dyDescent="0.3">
      <c r="A13" s="29">
        <v>46031</v>
      </c>
      <c r="B13" s="30"/>
      <c r="C13" s="31"/>
      <c r="D13" s="36"/>
      <c r="E13" s="32"/>
      <c r="F13" s="16"/>
      <c r="G13" s="12"/>
      <c r="H13" s="17"/>
      <c r="I13" s="18"/>
      <c r="J13" s="22" t="s">
        <v>42</v>
      </c>
      <c r="L13" s="9">
        <v>10</v>
      </c>
      <c r="M13" s="28" t="s">
        <v>30</v>
      </c>
      <c r="N13" s="21">
        <v>3</v>
      </c>
      <c r="O13" s="21">
        <v>3</v>
      </c>
      <c r="P13" s="19">
        <f t="shared" si="0"/>
        <v>0</v>
      </c>
    </row>
    <row r="14" spans="1:16" ht="30" customHeight="1" x14ac:dyDescent="0.3">
      <c r="A14" s="29">
        <v>46032</v>
      </c>
      <c r="B14" s="30" t="s">
        <v>18</v>
      </c>
      <c r="C14" s="31" t="s">
        <v>43</v>
      </c>
      <c r="D14" s="36" t="s">
        <v>44</v>
      </c>
      <c r="E14" s="32" t="s">
        <v>21</v>
      </c>
      <c r="F14" s="16" t="s">
        <v>22</v>
      </c>
      <c r="G14" s="12" t="s">
        <v>21</v>
      </c>
      <c r="H14" s="17" t="s">
        <v>45</v>
      </c>
      <c r="I14" s="18">
        <v>17</v>
      </c>
      <c r="J14" s="22" t="s">
        <v>46</v>
      </c>
      <c r="L14" s="9">
        <v>11</v>
      </c>
      <c r="M14" s="37" t="s">
        <v>60</v>
      </c>
      <c r="N14" s="21">
        <v>1</v>
      </c>
      <c r="O14" s="21">
        <v>1</v>
      </c>
      <c r="P14" s="19">
        <f t="shared" si="0"/>
        <v>0</v>
      </c>
    </row>
    <row r="15" spans="1:16" ht="30" customHeight="1" x14ac:dyDescent="0.3">
      <c r="A15" s="23"/>
      <c r="B15" s="24"/>
      <c r="C15" s="25"/>
      <c r="D15" s="26"/>
      <c r="E15" s="24"/>
      <c r="F15" s="26"/>
      <c r="G15" s="24"/>
      <c r="H15" s="24"/>
      <c r="I15" s="24"/>
      <c r="J15" s="24"/>
      <c r="L15" s="9">
        <v>12</v>
      </c>
      <c r="M15" s="36" t="s">
        <v>17</v>
      </c>
      <c r="N15" s="21">
        <v>3</v>
      </c>
      <c r="O15" s="21">
        <v>2</v>
      </c>
      <c r="P15" s="19">
        <f t="shared" si="0"/>
        <v>1</v>
      </c>
    </row>
    <row r="16" spans="1:16" ht="30" customHeight="1" x14ac:dyDescent="0.3">
      <c r="A16" s="29">
        <v>46034</v>
      </c>
      <c r="B16" s="12" t="s">
        <v>47</v>
      </c>
      <c r="C16" s="31" t="s">
        <v>48</v>
      </c>
      <c r="D16" s="36" t="s">
        <v>15</v>
      </c>
      <c r="E16" s="32" t="s">
        <v>49</v>
      </c>
      <c r="F16" s="16" t="s">
        <v>50</v>
      </c>
      <c r="G16" s="12" t="s">
        <v>49</v>
      </c>
      <c r="H16" s="17" t="s">
        <v>45</v>
      </c>
      <c r="I16" s="18">
        <v>8</v>
      </c>
      <c r="J16" s="22" t="s">
        <v>24</v>
      </c>
      <c r="L16" s="9">
        <v>13</v>
      </c>
      <c r="M16" s="36" t="s">
        <v>128</v>
      </c>
      <c r="N16" s="21">
        <v>1</v>
      </c>
      <c r="O16" s="21">
        <v>1</v>
      </c>
      <c r="P16" s="19">
        <f t="shared" si="0"/>
        <v>0</v>
      </c>
    </row>
    <row r="17" spans="1:16" ht="30" customHeight="1" x14ac:dyDescent="0.3">
      <c r="A17" s="29">
        <v>46035</v>
      </c>
      <c r="B17" s="30" t="s">
        <v>51</v>
      </c>
      <c r="C17" s="31" t="s">
        <v>48</v>
      </c>
      <c r="D17" s="37" t="s">
        <v>52</v>
      </c>
      <c r="E17" s="32" t="s">
        <v>49</v>
      </c>
      <c r="F17" s="16" t="s">
        <v>50</v>
      </c>
      <c r="G17" s="12" t="s">
        <v>49</v>
      </c>
      <c r="H17" s="17" t="s">
        <v>45</v>
      </c>
      <c r="I17" s="18">
        <v>8</v>
      </c>
      <c r="J17" s="22" t="s">
        <v>29</v>
      </c>
      <c r="L17" s="9">
        <v>14</v>
      </c>
      <c r="M17" s="36" t="s">
        <v>40</v>
      </c>
      <c r="N17" s="21">
        <v>2</v>
      </c>
      <c r="O17" s="21">
        <v>2</v>
      </c>
      <c r="P17" s="19">
        <f t="shared" si="0"/>
        <v>0</v>
      </c>
    </row>
    <row r="18" spans="1:16" ht="30" customHeight="1" x14ac:dyDescent="0.3">
      <c r="A18" s="29">
        <v>46036</v>
      </c>
      <c r="B18" s="12"/>
      <c r="C18" s="31"/>
      <c r="D18" s="14"/>
      <c r="E18" s="15"/>
      <c r="F18" s="16"/>
      <c r="G18" s="12"/>
      <c r="H18" s="17"/>
      <c r="I18" s="18"/>
      <c r="J18" s="22" t="s">
        <v>39</v>
      </c>
      <c r="L18" s="9">
        <v>15</v>
      </c>
      <c r="M18" s="20" t="s">
        <v>72</v>
      </c>
      <c r="N18" s="20">
        <v>1</v>
      </c>
      <c r="O18" s="20">
        <v>1</v>
      </c>
      <c r="P18" s="19">
        <f t="shared" si="0"/>
        <v>0</v>
      </c>
    </row>
    <row r="19" spans="1:16" ht="30" customHeight="1" x14ac:dyDescent="0.3">
      <c r="A19" s="29">
        <v>46037</v>
      </c>
      <c r="B19" s="30" t="s">
        <v>47</v>
      </c>
      <c r="C19" s="31" t="s">
        <v>53</v>
      </c>
      <c r="D19" s="14" t="s">
        <v>16</v>
      </c>
      <c r="E19" s="32" t="s">
        <v>54</v>
      </c>
      <c r="F19" s="16" t="s">
        <v>50</v>
      </c>
      <c r="G19" s="12" t="s">
        <v>54</v>
      </c>
      <c r="H19" s="17" t="s">
        <v>55</v>
      </c>
      <c r="I19" s="35" t="s">
        <v>56</v>
      </c>
      <c r="J19" s="22" t="s">
        <v>41</v>
      </c>
      <c r="L19" s="9">
        <v>16</v>
      </c>
      <c r="M19" s="20" t="s">
        <v>75</v>
      </c>
      <c r="N19" s="20">
        <v>1</v>
      </c>
      <c r="O19" s="20">
        <v>0</v>
      </c>
      <c r="P19" s="19">
        <f t="shared" si="0"/>
        <v>1</v>
      </c>
    </row>
    <row r="20" spans="1:16" ht="30" customHeight="1" x14ac:dyDescent="0.3">
      <c r="A20" s="29">
        <v>46038</v>
      </c>
      <c r="B20" s="30" t="s">
        <v>47</v>
      </c>
      <c r="C20" s="31" t="s">
        <v>53</v>
      </c>
      <c r="D20" s="36" t="s">
        <v>17</v>
      </c>
      <c r="E20" s="32" t="s">
        <v>57</v>
      </c>
      <c r="F20" s="16" t="s">
        <v>77</v>
      </c>
      <c r="G20" s="12" t="s">
        <v>57</v>
      </c>
      <c r="H20" s="17" t="s">
        <v>55</v>
      </c>
      <c r="I20" s="18">
        <v>9</v>
      </c>
      <c r="J20" s="22" t="s">
        <v>42</v>
      </c>
      <c r="M20" s="1"/>
      <c r="N20" s="1">
        <f>SUM(N4:N19)</f>
        <v>25</v>
      </c>
      <c r="O20" s="1">
        <f>SUM(O4:O19)</f>
        <v>23</v>
      </c>
      <c r="P20" s="1">
        <f>SUM(P4:P19)</f>
        <v>2</v>
      </c>
    </row>
    <row r="21" spans="1:16" ht="30" customHeight="1" x14ac:dyDescent="0.3">
      <c r="A21" s="70">
        <v>46039</v>
      </c>
      <c r="B21" s="30" t="s">
        <v>47</v>
      </c>
      <c r="C21" s="31" t="s">
        <v>53</v>
      </c>
      <c r="D21" s="36" t="s">
        <v>25</v>
      </c>
      <c r="E21" s="32" t="s">
        <v>58</v>
      </c>
      <c r="F21" s="16" t="s">
        <v>50</v>
      </c>
      <c r="G21" s="12" t="s">
        <v>58</v>
      </c>
      <c r="H21" s="17" t="s">
        <v>55</v>
      </c>
      <c r="I21" s="18">
        <v>12</v>
      </c>
      <c r="J21" s="64" t="s">
        <v>46</v>
      </c>
      <c r="M21" s="1"/>
      <c r="N21" s="1"/>
      <c r="O21" s="1"/>
    </row>
    <row r="22" spans="1:16" ht="30" customHeight="1" x14ac:dyDescent="0.3">
      <c r="A22" s="72"/>
      <c r="B22" s="30" t="s">
        <v>51</v>
      </c>
      <c r="C22" s="31" t="s">
        <v>48</v>
      </c>
      <c r="D22" s="36" t="s">
        <v>30</v>
      </c>
      <c r="E22" s="32" t="s">
        <v>21</v>
      </c>
      <c r="F22" s="16" t="s">
        <v>22</v>
      </c>
      <c r="G22" s="12" t="s">
        <v>21</v>
      </c>
      <c r="H22" s="17" t="s">
        <v>45</v>
      </c>
      <c r="I22" s="18">
        <v>14</v>
      </c>
      <c r="J22" s="65"/>
    </row>
    <row r="23" spans="1:16" ht="30" customHeight="1" x14ac:dyDescent="0.3">
      <c r="A23" s="23"/>
      <c r="B23" s="24"/>
      <c r="C23" s="25"/>
      <c r="D23" s="26"/>
      <c r="E23" s="24"/>
      <c r="F23" s="26"/>
      <c r="G23" s="24"/>
      <c r="H23" s="24"/>
      <c r="I23" s="24"/>
      <c r="J23" s="24"/>
    </row>
    <row r="24" spans="1:16" ht="30" customHeight="1" x14ac:dyDescent="0.3">
      <c r="A24" s="29">
        <v>46041</v>
      </c>
      <c r="B24" s="30"/>
      <c r="C24" s="31"/>
      <c r="D24" s="36"/>
      <c r="E24" s="32"/>
      <c r="F24" s="16"/>
      <c r="G24" s="12"/>
      <c r="H24" s="17"/>
      <c r="I24" s="18"/>
      <c r="J24" s="22" t="s">
        <v>24</v>
      </c>
    </row>
    <row r="25" spans="1:16" ht="30" customHeight="1" x14ac:dyDescent="0.3">
      <c r="A25" s="29">
        <v>46042</v>
      </c>
      <c r="B25" s="30" t="s">
        <v>18</v>
      </c>
      <c r="C25" s="31" t="s">
        <v>59</v>
      </c>
      <c r="D25" s="37" t="s">
        <v>60</v>
      </c>
      <c r="E25" s="32" t="s">
        <v>21</v>
      </c>
      <c r="F25" s="16" t="s">
        <v>61</v>
      </c>
      <c r="G25" s="12" t="s">
        <v>21</v>
      </c>
      <c r="H25" s="17" t="s">
        <v>62</v>
      </c>
      <c r="I25" s="18">
        <v>35</v>
      </c>
      <c r="J25" s="22" t="s">
        <v>29</v>
      </c>
    </row>
    <row r="26" spans="1:16" ht="30" customHeight="1" x14ac:dyDescent="0.3">
      <c r="A26" s="29">
        <v>46043</v>
      </c>
      <c r="B26" s="12" t="s">
        <v>63</v>
      </c>
      <c r="C26" s="31" t="s">
        <v>53</v>
      </c>
      <c r="D26" s="14" t="s">
        <v>25</v>
      </c>
      <c r="E26" s="15" t="s">
        <v>58</v>
      </c>
      <c r="F26" s="16" t="s">
        <v>50</v>
      </c>
      <c r="G26" s="12" t="s">
        <v>58</v>
      </c>
      <c r="H26" s="17" t="s">
        <v>55</v>
      </c>
      <c r="I26" s="18">
        <v>12</v>
      </c>
      <c r="J26" s="22" t="s">
        <v>39</v>
      </c>
    </row>
    <row r="27" spans="1:16" ht="30" customHeight="1" x14ac:dyDescent="0.3">
      <c r="A27" s="29">
        <v>46044</v>
      </c>
      <c r="B27" s="12" t="s">
        <v>63</v>
      </c>
      <c r="C27" s="31" t="s">
        <v>53</v>
      </c>
      <c r="D27" s="14" t="s">
        <v>16</v>
      </c>
      <c r="E27" s="32" t="s">
        <v>54</v>
      </c>
      <c r="F27" s="16" t="s">
        <v>50</v>
      </c>
      <c r="G27" s="12" t="s">
        <v>54</v>
      </c>
      <c r="H27" s="17" t="s">
        <v>55</v>
      </c>
      <c r="I27" s="35" t="s">
        <v>56</v>
      </c>
      <c r="J27" s="22" t="s">
        <v>41</v>
      </c>
    </row>
    <row r="28" spans="1:16" ht="30" customHeight="1" x14ac:dyDescent="0.3">
      <c r="A28" s="70">
        <v>46045</v>
      </c>
      <c r="B28" s="30" t="s">
        <v>18</v>
      </c>
      <c r="C28" s="31" t="s">
        <v>64</v>
      </c>
      <c r="D28" s="36" t="s">
        <v>65</v>
      </c>
      <c r="E28" s="32" t="s">
        <v>66</v>
      </c>
      <c r="F28" s="16" t="s">
        <v>67</v>
      </c>
      <c r="G28" s="12" t="s">
        <v>66</v>
      </c>
      <c r="H28" s="17"/>
      <c r="I28" s="35" t="s">
        <v>68</v>
      </c>
      <c r="J28" s="64" t="s">
        <v>42</v>
      </c>
    </row>
    <row r="29" spans="1:16" ht="30" customHeight="1" x14ac:dyDescent="0.3">
      <c r="A29" s="72"/>
      <c r="B29" s="38" t="s">
        <v>69</v>
      </c>
      <c r="C29" s="39" t="s">
        <v>53</v>
      </c>
      <c r="D29" s="40" t="s">
        <v>17</v>
      </c>
      <c r="E29" s="38" t="s">
        <v>57</v>
      </c>
      <c r="F29" s="41" t="s">
        <v>50</v>
      </c>
      <c r="G29" s="42" t="s">
        <v>57</v>
      </c>
      <c r="H29" s="43" t="s">
        <v>55</v>
      </c>
      <c r="I29" s="42">
        <v>9</v>
      </c>
      <c r="J29" s="65"/>
    </row>
    <row r="30" spans="1:16" ht="30" customHeight="1" x14ac:dyDescent="0.3">
      <c r="A30" s="70">
        <v>46046</v>
      </c>
      <c r="B30" s="30" t="s">
        <v>51</v>
      </c>
      <c r="C30" s="31" t="s">
        <v>70</v>
      </c>
      <c r="D30" s="36" t="s">
        <v>30</v>
      </c>
      <c r="E30" s="32" t="s">
        <v>21</v>
      </c>
      <c r="F30" s="16" t="s">
        <v>22</v>
      </c>
      <c r="G30" s="12" t="s">
        <v>21</v>
      </c>
      <c r="H30" s="17" t="s">
        <v>45</v>
      </c>
      <c r="I30" s="18">
        <v>14</v>
      </c>
      <c r="J30" s="64" t="s">
        <v>46</v>
      </c>
    </row>
    <row r="31" spans="1:16" ht="30" customHeight="1" x14ac:dyDescent="0.3">
      <c r="A31" s="72"/>
      <c r="B31" s="30" t="s">
        <v>69</v>
      </c>
      <c r="C31" s="31" t="s">
        <v>70</v>
      </c>
      <c r="D31" s="36" t="s">
        <v>40</v>
      </c>
      <c r="E31" s="32" t="s">
        <v>21</v>
      </c>
      <c r="F31" s="16" t="s">
        <v>22</v>
      </c>
      <c r="G31" s="12" t="s">
        <v>21</v>
      </c>
      <c r="H31" s="17" t="s">
        <v>45</v>
      </c>
      <c r="I31" s="18">
        <v>8</v>
      </c>
      <c r="J31" s="65"/>
    </row>
    <row r="32" spans="1:16" ht="30" customHeight="1" x14ac:dyDescent="0.3">
      <c r="A32" s="23"/>
      <c r="B32" s="24"/>
      <c r="C32" s="25"/>
      <c r="D32" s="26"/>
      <c r="E32" s="24"/>
      <c r="F32" s="26"/>
      <c r="G32" s="24"/>
      <c r="H32" s="24"/>
      <c r="I32" s="24"/>
      <c r="J32" s="24"/>
    </row>
    <row r="33" spans="1:10" ht="30" customHeight="1" x14ac:dyDescent="0.3">
      <c r="A33" s="29">
        <v>46048</v>
      </c>
      <c r="B33" s="30"/>
      <c r="C33" s="31"/>
      <c r="D33" s="36"/>
      <c r="E33" s="32"/>
      <c r="F33" s="16"/>
      <c r="G33" s="12"/>
      <c r="H33" s="17"/>
      <c r="I33" s="18"/>
      <c r="J33" s="22" t="s">
        <v>24</v>
      </c>
    </row>
    <row r="34" spans="1:10" ht="30" customHeight="1" x14ac:dyDescent="0.3">
      <c r="A34" s="29">
        <v>46049</v>
      </c>
      <c r="B34" s="30" t="s">
        <v>18</v>
      </c>
      <c r="C34" s="31" t="s">
        <v>71</v>
      </c>
      <c r="D34" s="37" t="s">
        <v>72</v>
      </c>
      <c r="E34" s="32" t="s">
        <v>73</v>
      </c>
      <c r="F34" s="16" t="s">
        <v>74</v>
      </c>
      <c r="G34" s="12" t="s">
        <v>73</v>
      </c>
      <c r="H34" s="17" t="s">
        <v>45</v>
      </c>
      <c r="I34" s="18">
        <v>23</v>
      </c>
      <c r="J34" s="22" t="s">
        <v>29</v>
      </c>
    </row>
    <row r="35" spans="1:10" ht="30" customHeight="1" x14ac:dyDescent="0.3">
      <c r="A35" s="29">
        <v>46050</v>
      </c>
      <c r="B35" s="30" t="s">
        <v>47</v>
      </c>
      <c r="C35" s="31" t="s">
        <v>53</v>
      </c>
      <c r="D35" s="36" t="s">
        <v>25</v>
      </c>
      <c r="E35" s="32" t="s">
        <v>58</v>
      </c>
      <c r="F35" s="16" t="s">
        <v>50</v>
      </c>
      <c r="G35" s="12" t="s">
        <v>58</v>
      </c>
      <c r="H35" s="17" t="s">
        <v>55</v>
      </c>
      <c r="I35" s="18">
        <v>12</v>
      </c>
      <c r="J35" s="22" t="s">
        <v>39</v>
      </c>
    </row>
    <row r="36" spans="1:10" ht="30" customHeight="1" x14ac:dyDescent="0.3">
      <c r="A36" s="29">
        <v>46051</v>
      </c>
      <c r="B36" s="12" t="s">
        <v>63</v>
      </c>
      <c r="C36" s="31" t="s">
        <v>53</v>
      </c>
      <c r="D36" s="14" t="s">
        <v>16</v>
      </c>
      <c r="E36" s="32" t="s">
        <v>54</v>
      </c>
      <c r="F36" s="16" t="s">
        <v>50</v>
      </c>
      <c r="G36" s="12" t="s">
        <v>54</v>
      </c>
      <c r="H36" s="17" t="s">
        <v>55</v>
      </c>
      <c r="I36" s="35" t="s">
        <v>56</v>
      </c>
      <c r="J36" s="22" t="s">
        <v>41</v>
      </c>
    </row>
    <row r="37" spans="1:10" ht="30" customHeight="1" x14ac:dyDescent="0.3">
      <c r="A37" s="29">
        <v>46052</v>
      </c>
      <c r="B37" s="30" t="s">
        <v>47</v>
      </c>
      <c r="C37" s="31" t="s">
        <v>53</v>
      </c>
      <c r="D37" s="36" t="s">
        <v>17</v>
      </c>
      <c r="E37" s="32" t="s">
        <v>57</v>
      </c>
      <c r="F37" s="16" t="s">
        <v>50</v>
      </c>
      <c r="G37" s="12" t="s">
        <v>57</v>
      </c>
      <c r="H37" s="17" t="s">
        <v>55</v>
      </c>
      <c r="I37" s="18">
        <v>9</v>
      </c>
      <c r="J37" s="22" t="s">
        <v>42</v>
      </c>
    </row>
    <row r="38" spans="1:10" ht="30" customHeight="1" x14ac:dyDescent="0.3">
      <c r="A38" s="70">
        <v>46053</v>
      </c>
      <c r="B38" s="38" t="s">
        <v>47</v>
      </c>
      <c r="C38" s="39" t="s">
        <v>48</v>
      </c>
      <c r="D38" s="40" t="s">
        <v>75</v>
      </c>
      <c r="E38" s="38" t="s">
        <v>76</v>
      </c>
      <c r="F38" s="41" t="s">
        <v>50</v>
      </c>
      <c r="G38" s="42" t="s">
        <v>76</v>
      </c>
      <c r="H38" s="43" t="s">
        <v>45</v>
      </c>
      <c r="I38" s="42">
        <v>12</v>
      </c>
      <c r="J38" s="64" t="s">
        <v>46</v>
      </c>
    </row>
    <row r="39" spans="1:10" ht="30" customHeight="1" x14ac:dyDescent="0.3">
      <c r="A39" s="71"/>
      <c r="B39" s="30" t="s">
        <v>51</v>
      </c>
      <c r="C39" s="31" t="s">
        <v>70</v>
      </c>
      <c r="D39" s="36" t="s">
        <v>30</v>
      </c>
      <c r="E39" s="32" t="s">
        <v>21</v>
      </c>
      <c r="F39" s="16" t="s">
        <v>22</v>
      </c>
      <c r="G39" s="12" t="s">
        <v>21</v>
      </c>
      <c r="H39" s="17" t="s">
        <v>45</v>
      </c>
      <c r="I39" s="18">
        <v>14</v>
      </c>
      <c r="J39" s="69"/>
    </row>
    <row r="40" spans="1:10" ht="30" customHeight="1" x14ac:dyDescent="0.3">
      <c r="A40" s="72"/>
      <c r="B40" s="30" t="s">
        <v>69</v>
      </c>
      <c r="C40" s="31" t="s">
        <v>70</v>
      </c>
      <c r="D40" s="36" t="s">
        <v>40</v>
      </c>
      <c r="E40" s="32" t="s">
        <v>21</v>
      </c>
      <c r="F40" s="16" t="s">
        <v>22</v>
      </c>
      <c r="G40" s="12" t="s">
        <v>21</v>
      </c>
      <c r="H40" s="17" t="s">
        <v>45</v>
      </c>
      <c r="I40" s="18">
        <v>8</v>
      </c>
      <c r="J40" s="65"/>
    </row>
  </sheetData>
  <mergeCells count="11">
    <mergeCell ref="A30:A31"/>
    <mergeCell ref="J30:J31"/>
    <mergeCell ref="A38:A40"/>
    <mergeCell ref="J38:J40"/>
    <mergeCell ref="A28:A29"/>
    <mergeCell ref="J28:J29"/>
    <mergeCell ref="A1:J1"/>
    <mergeCell ref="A9:A10"/>
    <mergeCell ref="J9:J10"/>
    <mergeCell ref="A21:A22"/>
    <mergeCell ref="J21:J2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Июнь 2026</vt:lpstr>
      <vt:lpstr>Май 2026</vt:lpstr>
      <vt:lpstr>Апрель 2026</vt:lpstr>
      <vt:lpstr>Март 2026</vt:lpstr>
      <vt:lpstr>Февраль 2026</vt:lpstr>
      <vt:lpstr>Январь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AtSDZ 05</dc:creator>
  <cp:lastModifiedBy>User AtSDZ 05</cp:lastModifiedBy>
  <dcterms:created xsi:type="dcterms:W3CDTF">2026-03-10T04:55:53Z</dcterms:created>
  <dcterms:modified xsi:type="dcterms:W3CDTF">2026-07-01T12:45:00Z</dcterms:modified>
</cp:coreProperties>
</file>